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hristmanco-my.sharepoint.com/personal/tucker_dye_christmanbig_com/Documents/Desktop/"/>
    </mc:Choice>
  </mc:AlternateContent>
  <xr:revisionPtr revIDLastSave="0" documentId="8_{833A56E7-E6F1-4522-BA42-FE09F27F9F71}" xr6:coauthVersionLast="47" xr6:coauthVersionMax="47" xr10:uidLastSave="{00000000-0000-0000-0000-000000000000}"/>
  <bookViews>
    <workbookView xWindow="38280" yWindow="-120" windowWidth="38640" windowHeight="21120" tabRatio="500" activeTab="2" xr2:uid="{00000000-000D-0000-FFFF-FFFF00000000}"/>
  </bookViews>
  <sheets>
    <sheet name="Dashboard" sheetId="1" r:id="rId1"/>
    <sheet name="Estimating" sheetId="2" r:id="rId2"/>
    <sheet name="Data Diction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V105" i="2" l="1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V2" i="2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D31" i="1"/>
  <c r="C31" i="1"/>
  <c r="J30" i="1"/>
  <c r="I30" i="1"/>
  <c r="D30" i="1"/>
  <c r="C30" i="1"/>
  <c r="J29" i="1"/>
  <c r="I29" i="1"/>
  <c r="D29" i="1"/>
  <c r="C29" i="1"/>
  <c r="J28" i="1"/>
  <c r="I28" i="1"/>
  <c r="D28" i="1"/>
  <c r="C28" i="1"/>
  <c r="D23" i="1"/>
  <c r="C23" i="1"/>
  <c r="D22" i="1"/>
  <c r="C22" i="1"/>
  <c r="D21" i="1"/>
  <c r="C21" i="1"/>
  <c r="D20" i="1"/>
  <c r="C20" i="1"/>
  <c r="J19" i="1"/>
  <c r="I19" i="1"/>
  <c r="D19" i="1"/>
  <c r="C19" i="1"/>
  <c r="J18" i="1"/>
  <c r="I18" i="1"/>
  <c r="D18" i="1"/>
  <c r="C18" i="1"/>
  <c r="J17" i="1"/>
  <c r="I17" i="1"/>
  <c r="D17" i="1"/>
  <c r="C17" i="1"/>
  <c r="J16" i="1"/>
  <c r="I16" i="1"/>
  <c r="D16" i="1"/>
  <c r="C16" i="1"/>
  <c r="J15" i="1"/>
  <c r="I15" i="1"/>
  <c r="D15" i="1"/>
  <c r="C15" i="1"/>
  <c r="J14" i="1"/>
  <c r="I14" i="1"/>
  <c r="D14" i="1"/>
  <c r="C14" i="1"/>
  <c r="J13" i="1"/>
  <c r="I13" i="1"/>
  <c r="D13" i="1"/>
  <c r="C13" i="1"/>
  <c r="J12" i="1"/>
  <c r="I12" i="1"/>
  <c r="D12" i="1"/>
  <c r="C12" i="1"/>
  <c r="J11" i="1"/>
  <c r="I11" i="1"/>
  <c r="D11" i="1"/>
  <c r="C11" i="1"/>
  <c r="L7" i="1"/>
  <c r="J7" i="1"/>
  <c r="H7" i="1"/>
  <c r="F7" i="1"/>
  <c r="D7" i="1"/>
  <c r="B7" i="1"/>
  <c r="E12" i="1" l="1"/>
  <c r="E15" i="1"/>
  <c r="E28" i="1"/>
  <c r="K38" i="1"/>
  <c r="E13" i="1"/>
  <c r="E20" i="1"/>
  <c r="K34" i="1"/>
  <c r="K18" i="1"/>
  <c r="E31" i="1"/>
  <c r="K36" i="1"/>
  <c r="K28" i="1"/>
  <c r="E16" i="1"/>
  <c r="E29" i="1"/>
  <c r="K33" i="1"/>
  <c r="E22" i="1"/>
  <c r="K32" i="1"/>
  <c r="E19" i="1"/>
  <c r="E17" i="1"/>
  <c r="E14" i="1"/>
  <c r="K16" i="1"/>
  <c r="K19" i="1"/>
  <c r="K31" i="1"/>
  <c r="K13" i="1"/>
  <c r="K39" i="1"/>
  <c r="K14" i="1"/>
  <c r="K29" i="1"/>
  <c r="E18" i="1"/>
  <c r="E30" i="1"/>
  <c r="K17" i="1"/>
  <c r="E21" i="1"/>
  <c r="K37" i="1"/>
  <c r="E11" i="1"/>
  <c r="K11" i="1"/>
  <c r="K12" i="1"/>
  <c r="K15" i="1"/>
  <c r="E23" i="1"/>
  <c r="K30" i="1"/>
  <c r="K35" i="1"/>
</calcChain>
</file>

<file path=xl/sharedStrings.xml><?xml version="1.0" encoding="utf-8"?>
<sst xmlns="http://schemas.openxmlformats.org/spreadsheetml/2006/main" count="1416" uniqueCount="648">
  <si>
    <t>Structural Concrete Estimation History  |  Auto-calculated from Estimating tab</t>
  </si>
  <si>
    <t>Total Bids
(excl. Open)</t>
  </si>
  <si>
    <t>Awarded</t>
  </si>
  <si>
    <t>Closed (Lost)</t>
  </si>
  <si>
    <t>Bid-to-Hit
Ratio</t>
  </si>
  <si>
    <t>Avg Bid
Amount</t>
  </si>
  <si>
    <t>Avg Contract
(Awarded)</t>
  </si>
  <si>
    <t>Market Sector</t>
  </si>
  <si>
    <t>Bids</t>
  </si>
  <si>
    <t>Hit Rate</t>
  </si>
  <si>
    <t>Estimator</t>
  </si>
  <si>
    <t>Church</t>
  </si>
  <si>
    <t>Christian Oglesby</t>
  </si>
  <si>
    <t>Elem/High School</t>
  </si>
  <si>
    <t>Dave Deller</t>
  </si>
  <si>
    <t>Government</t>
  </si>
  <si>
    <t>Ethan Conlan</t>
  </si>
  <si>
    <t>Health Care</t>
  </si>
  <si>
    <t>Farzan Rafieyan-Esfahani</t>
  </si>
  <si>
    <t>Higher Ed</t>
  </si>
  <si>
    <t>Frank Duff</t>
  </si>
  <si>
    <t>Historic Preservation</t>
  </si>
  <si>
    <t>Greg Klem</t>
  </si>
  <si>
    <t>Industrial/Power</t>
  </si>
  <si>
    <t>Joseph Leone</t>
  </si>
  <si>
    <t>Office</t>
  </si>
  <si>
    <t>Ron Cody</t>
  </si>
  <si>
    <t>Other</t>
  </si>
  <si>
    <t>Sam Peterson</t>
  </si>
  <si>
    <t>Parking Deck</t>
  </si>
  <si>
    <t>Residential/ Housing</t>
  </si>
  <si>
    <t>Retail</t>
  </si>
  <si>
    <t>Sports / Event Venues</t>
  </si>
  <si>
    <t>Region</t>
  </si>
  <si>
    <t>Month</t>
  </si>
  <si>
    <t>CCI Central MI</t>
  </si>
  <si>
    <t>Jan</t>
  </si>
  <si>
    <t>CCI Southeast MI</t>
  </si>
  <si>
    <t>Feb</t>
  </si>
  <si>
    <t>CCI West Michigan</t>
  </si>
  <si>
    <t>Mar</t>
  </si>
  <si>
    <t>Out of Region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</si>
  <si>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</si>
  <si>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</si>
  <si>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</si>
  <si>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</si>
  <si>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</si>
  <si>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</si>
  <si>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</si>
  <si>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</si>
  <si>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</si>
  <si>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📌  HOW TO IMPROVE BID-TO-HIT:  Fill in the gold-highlighted columns on the Estimating tab — Delivery Method, Opportunity Source, Go/No-Go Score, Loss Reason, Competitor Who Won, and # of Bidders. Once populated, you can add COUNTIFS breakdowns here (or in a pivot table) to see which delivery methods, opportunity sources, and estimators drive the best win rates. The Bid Delta % column auto-calculates on awarded jobs.</t>
  </si>
  <si>
    <t>Status</t>
  </si>
  <si>
    <t>Job #</t>
  </si>
  <si>
    <t>Estimate #</t>
  </si>
  <si>
    <t>Name</t>
  </si>
  <si>
    <t>Bid Date</t>
  </si>
  <si>
    <t>Sales Date</t>
  </si>
  <si>
    <t>Bid Amount</t>
  </si>
  <si>
    <t>Location</t>
  </si>
  <si>
    <t>Trade</t>
  </si>
  <si>
    <t>Contract Amount</t>
  </si>
  <si>
    <t>Contract Fee</t>
  </si>
  <si>
    <t>Contract Hours</t>
  </si>
  <si>
    <t>Comments</t>
  </si>
  <si>
    <t>Conc Vol (CY)</t>
  </si>
  <si>
    <t>Building SF</t>
  </si>
  <si>
    <t>Production MH</t>
  </si>
  <si>
    <t>Installation MH</t>
  </si>
  <si>
    <t>GC MH</t>
  </si>
  <si>
    <t>Total MH</t>
  </si>
  <si>
    <t>Fee</t>
  </si>
  <si>
    <t>Duration (PM) Weeks</t>
  </si>
  <si>
    <t>Total GC Labor</t>
  </si>
  <si>
    <t>Staff Labor Hours</t>
  </si>
  <si>
    <t>Total GC's</t>
  </si>
  <si>
    <t>GC %</t>
  </si>
  <si>
    <t>Customer</t>
  </si>
  <si>
    <t>Final Hours</t>
  </si>
  <si>
    <t>WIP Est Cost</t>
  </si>
  <si>
    <t>WIP Est Fee</t>
  </si>
  <si>
    <t>WIP Est Contract</t>
  </si>
  <si>
    <t>WIP Fee %</t>
  </si>
  <si>
    <t>Contract Status</t>
  </si>
  <si>
    <t>Job Start Date</t>
  </si>
  <si>
    <t>Job End Date</t>
  </si>
  <si>
    <t>Weeks</t>
  </si>
  <si>
    <t>Equipment Value</t>
  </si>
  <si>
    <t>Delivery Method</t>
  </si>
  <si>
    <t># of Bidders</t>
  </si>
  <si>
    <t>Opportunity Source</t>
  </si>
  <si>
    <t>Go/No-Go Score
(1=Low 3=High)</t>
  </si>
  <si>
    <t>Loss Reason</t>
  </si>
  <si>
    <t>Competitor Who Won</t>
  </si>
  <si>
    <t>Our Rank
(if lost)</t>
  </si>
  <si>
    <t>Bid Delta %
(Contract vs Bid)</t>
  </si>
  <si>
    <t>251121</t>
  </si>
  <si>
    <t>24-0378</t>
  </si>
  <si>
    <t>McKenzie Health System - WC 10</t>
  </si>
  <si>
    <t>6/11/2024</t>
  </si>
  <si>
    <t>9/26/2025</t>
  </si>
  <si>
    <t>Sandusky, MI</t>
  </si>
  <si>
    <t>CON</t>
  </si>
  <si>
    <t>20%</t>
  </si>
  <si>
    <t xml:space="preserve">The Christman Company - 0
</t>
  </si>
  <si>
    <t>8.4%</t>
  </si>
  <si>
    <t>Open</t>
  </si>
  <si>
    <t>251039</t>
  </si>
  <si>
    <t>24-0402</t>
  </si>
  <si>
    <t>GLWA Final Screened Effluent Pump Station CONCRETE</t>
  </si>
  <si>
    <t>6/25/2024</t>
  </si>
  <si>
    <t>4/28/2025</t>
  </si>
  <si>
    <t>Detroit, MI</t>
  </si>
  <si>
    <t>18%</t>
  </si>
  <si>
    <t xml:space="preserve">FH Paschen - 0
</t>
  </si>
  <si>
    <t>5.9%</t>
  </si>
  <si>
    <t>251052</t>
  </si>
  <si>
    <t>24-0718</t>
  </si>
  <si>
    <t>Pfizer B41 PSPW &amp; RO System Upgrade - Concrete</t>
  </si>
  <si>
    <t>11/19/2024</t>
  </si>
  <si>
    <t>Portage, MI</t>
  </si>
  <si>
    <t>22%</t>
  </si>
  <si>
    <t xml:space="preserve">The Austin Company  - 0
</t>
  </si>
  <si>
    <t>14%</t>
  </si>
  <si>
    <t>251040</t>
  </si>
  <si>
    <t>24-0544</t>
  </si>
  <si>
    <t xml:space="preserve">Woodland Meadows RNG expansion </t>
  </si>
  <si>
    <t>11/27/2024</t>
  </si>
  <si>
    <t>Wayne, MI</t>
  </si>
  <si>
    <t>Revised post bid pricing was submitted to Ameresco on February 20th, 2025</t>
  </si>
  <si>
    <t>13%</t>
  </si>
  <si>
    <t xml:space="preserve">Ameresco  - 0
</t>
  </si>
  <si>
    <t>2.5%</t>
  </si>
  <si>
    <t>251100</t>
  </si>
  <si>
    <t>24-0792</t>
  </si>
  <si>
    <t xml:space="preserve">Pfizer B41 LSS Crisaborole Mfg </t>
  </si>
  <si>
    <t>12/10/2024</t>
  </si>
  <si>
    <t>7/9/2025</t>
  </si>
  <si>
    <t>Kalamazoo, MI</t>
  </si>
  <si>
    <t xml:space="preserve">The Austin Company - 0
</t>
  </si>
  <si>
    <t>28.6%</t>
  </si>
  <si>
    <t>25-1108</t>
  </si>
  <si>
    <t>MSU CHP BP4 Structural Concrete</t>
  </si>
  <si>
    <t>12/9/2025</t>
  </si>
  <si>
    <t>1/12/2026</t>
  </si>
  <si>
    <t>East Lansing, MI</t>
  </si>
  <si>
    <t>17%</t>
  </si>
  <si>
    <t xml:space="preserve">Granger Construction Company - 0
</t>
  </si>
  <si>
    <t>26-0009</t>
  </si>
  <si>
    <t>GM LGR - Switch House/ Yard , Shipping Yard</t>
  </si>
  <si>
    <t>1/8/2026</t>
  </si>
  <si>
    <t>Lansing, MI</t>
  </si>
  <si>
    <t>Tucker Dye</t>
  </si>
  <si>
    <t>16%</t>
  </si>
  <si>
    <t xml:space="preserve">Walbridge - 0
</t>
  </si>
  <si>
    <t>Closed</t>
  </si>
  <si>
    <t>26-0008</t>
  </si>
  <si>
    <t>Lansing Fire Station No. 8 - Site and Structural Concrete</t>
  </si>
  <si>
    <t>Alternate 1 - Add $128,000
Alternate 2 - Add $4,000</t>
  </si>
  <si>
    <t>24%</t>
  </si>
  <si>
    <t>26-0034</t>
  </si>
  <si>
    <t>GM Warren Tech Center Mazak Installation</t>
  </si>
  <si>
    <t>1/14/2026</t>
  </si>
  <si>
    <t>Warren, MI</t>
  </si>
  <si>
    <t>30%</t>
  </si>
  <si>
    <t xml:space="preserve">International Industrial Contracting Corp - 0
</t>
  </si>
  <si>
    <t>26-0025</t>
  </si>
  <si>
    <t>The Barn - Warehouse</t>
  </si>
  <si>
    <t>1/15/2026</t>
  </si>
  <si>
    <t>Saline, MI</t>
  </si>
  <si>
    <t>12%</t>
  </si>
  <si>
    <t xml:space="preserve">La - 0
</t>
  </si>
  <si>
    <t>26-0026</t>
  </si>
  <si>
    <t>The Barn - OPS Center</t>
  </si>
  <si>
    <t>19%</t>
  </si>
  <si>
    <t xml:space="preserve">La Salle - 0
</t>
  </si>
  <si>
    <t>26-0031</t>
  </si>
  <si>
    <t>Pinnacle Distribution Center Concrete</t>
  </si>
  <si>
    <t>Romulus, MI</t>
  </si>
  <si>
    <t>9%</t>
  </si>
  <si>
    <t xml:space="preserve">Co - 0
Brinkmann - 0
Co;Brinkmann - 0
</t>
  </si>
  <si>
    <t>26-0051</t>
  </si>
  <si>
    <t>Project Lion - Wash Water Recycle System</t>
  </si>
  <si>
    <t>1/16/2026</t>
  </si>
  <si>
    <t xml:space="preserve">Shafer Redi - Mix - 0
</t>
  </si>
  <si>
    <t>26-0061</t>
  </si>
  <si>
    <t>Amtrak Battle Creek Concrete</t>
  </si>
  <si>
    <t>1/20/2026</t>
  </si>
  <si>
    <t>Battle Creek, MI</t>
  </si>
  <si>
    <t>31%</t>
  </si>
  <si>
    <t xml:space="preserve">George Allen Construction - 0
Krische Construction, Inc. - 0
Granite Construction Inc. - 0
</t>
  </si>
  <si>
    <t>251090</t>
  </si>
  <si>
    <t>25-0439</t>
  </si>
  <si>
    <t>Woodland Meadows Culvert Concrete</t>
  </si>
  <si>
    <t>1/8/2025</t>
  </si>
  <si>
    <t>5/22/2025</t>
  </si>
  <si>
    <t>Van Buren Twp, MI</t>
  </si>
  <si>
    <t>10%</t>
  </si>
  <si>
    <t xml:space="preserve">D&amp;R Earthmoving, LLC - 0
</t>
  </si>
  <si>
    <t>12.6%</t>
  </si>
  <si>
    <t>25-0026</t>
  </si>
  <si>
    <t>HFE Powerhouse Garage Pavilion Phase 2 - WC10 Concrete</t>
  </si>
  <si>
    <t>1/15/2025</t>
  </si>
  <si>
    <t>Dearborn, MI</t>
  </si>
  <si>
    <t>15%</t>
  </si>
  <si>
    <t>25-0069</t>
  </si>
  <si>
    <t>Pfizer B225 Substation Reliability Expansion Concrete</t>
  </si>
  <si>
    <t>1/24/2025</t>
  </si>
  <si>
    <t>29%</t>
  </si>
  <si>
    <t>25-0088</t>
  </si>
  <si>
    <t>Tower on Grand</t>
  </si>
  <si>
    <t>1/30/2025</t>
  </si>
  <si>
    <t>11%</t>
  </si>
  <si>
    <t>25-0087</t>
  </si>
  <si>
    <t>Lansing Ave Pump Station and EQ Basin</t>
  </si>
  <si>
    <t xml:space="preserve">FH Paschen - 0
Weiss - 0
FH Paschen;Weiss;FH Paschen;Weiss - 0
</t>
  </si>
  <si>
    <t>25-0137</t>
  </si>
  <si>
    <t>Project Wolverine</t>
  </si>
  <si>
    <t>2/14/2025</t>
  </si>
  <si>
    <t>Coldwater, MI</t>
  </si>
  <si>
    <t xml:space="preserve">Gray Construction - 0
</t>
  </si>
  <si>
    <t>251069</t>
  </si>
  <si>
    <t>25-0247</t>
  </si>
  <si>
    <t xml:space="preserve">Jackson Tower Renovation </t>
  </si>
  <si>
    <t>4/9/2025</t>
  </si>
  <si>
    <t>Jackson, MI</t>
  </si>
  <si>
    <t xml:space="preserve">Bid was submitted via email to W.J. O'Neil on February 13th by Sean Webber on my behalf. </t>
  </si>
  <si>
    <t>0%</t>
  </si>
  <si>
    <t xml:space="preserve">W.J. O'Neil - 0
</t>
  </si>
  <si>
    <t>25-0153</t>
  </si>
  <si>
    <t>WM Leachate Tank Concrete</t>
  </si>
  <si>
    <t>2/21/2025</t>
  </si>
  <si>
    <t>Van Buren, MI</t>
  </si>
  <si>
    <t>25-0157</t>
  </si>
  <si>
    <t>Site Concrete - Consumers Energy Lansing 9</t>
  </si>
  <si>
    <t>2/24/2025</t>
  </si>
  <si>
    <t xml:space="preserve">Consumers Energy - 0
</t>
  </si>
  <si>
    <t>251048</t>
  </si>
  <si>
    <t>25-0160</t>
  </si>
  <si>
    <t>Switch GRR02 Slab Trench Drains</t>
  </si>
  <si>
    <t>2/26/2025</t>
  </si>
  <si>
    <t>3/6/2025</t>
  </si>
  <si>
    <t>Caledonia, MI</t>
  </si>
  <si>
    <t>15.2%</t>
  </si>
  <si>
    <t>251088</t>
  </si>
  <si>
    <t>25-0163</t>
  </si>
  <si>
    <t>AAPS Thurston - WC05A Foundations</t>
  </si>
  <si>
    <t>2/27/2025</t>
  </si>
  <si>
    <t>5/14/2025</t>
  </si>
  <si>
    <t>Ann Arbor, MI</t>
  </si>
  <si>
    <t>-15.8%</t>
  </si>
  <si>
    <t>25-0164</t>
  </si>
  <si>
    <t>AAPS Thurston WC05B Site Concrete</t>
  </si>
  <si>
    <t>25-0165</t>
  </si>
  <si>
    <t>AAPS Thurston WC10 Interior Concrete Flatwork</t>
  </si>
  <si>
    <t>251073</t>
  </si>
  <si>
    <t>25-0170</t>
  </si>
  <si>
    <t xml:space="preserve">Consumers Energy - City Gate - H-2 Highland </t>
  </si>
  <si>
    <t>2/28/2025</t>
  </si>
  <si>
    <t>5/21/2025</t>
  </si>
  <si>
    <t>Highland, MI</t>
  </si>
  <si>
    <t xml:space="preserve">Henkels &amp; McCoy - 0
</t>
  </si>
  <si>
    <t>20.3%</t>
  </si>
  <si>
    <t>Hard Closed</t>
  </si>
  <si>
    <t>251086</t>
  </si>
  <si>
    <t>25-0167</t>
  </si>
  <si>
    <t xml:space="preserve">Consumers Energy - City Gate - B-1 Bancroft </t>
  </si>
  <si>
    <t>5/28/2025</t>
  </si>
  <si>
    <t>Byron, MI</t>
  </si>
  <si>
    <t xml:space="preserve">Bid was submitted to Henkels &amp; McCoy on February 28th via email. </t>
  </si>
  <si>
    <t>27%</t>
  </si>
  <si>
    <t>36.8%</t>
  </si>
  <si>
    <t>251078</t>
  </si>
  <si>
    <t>25-0168</t>
  </si>
  <si>
    <t xml:space="preserve">Consumers Energy - City Gate - F-4 Flint </t>
  </si>
  <si>
    <t>Flint, MI</t>
  </si>
  <si>
    <t>38.3%</t>
  </si>
  <si>
    <t>25-0169</t>
  </si>
  <si>
    <t xml:space="preserve">Consumers Energy - City Gate - H-1 Hanover Horton </t>
  </si>
  <si>
    <t>Horton, MI</t>
  </si>
  <si>
    <t>25-0200</t>
  </si>
  <si>
    <t>TC Energy TVA Rewheel Gas Cooler Project</t>
  </si>
  <si>
    <t>3/10/2025</t>
  </si>
  <si>
    <t>Hartsville, TN</t>
  </si>
  <si>
    <t xml:space="preserve">Michels Pipeline, Inc. - 0
</t>
  </si>
  <si>
    <t>25-0196</t>
  </si>
  <si>
    <t>Monroe WWTP</t>
  </si>
  <si>
    <t>Monroe, MI</t>
  </si>
  <si>
    <t>48%</t>
  </si>
  <si>
    <t>25-0283</t>
  </si>
  <si>
    <t>Corewell Health Residency Housing</t>
  </si>
  <si>
    <t>3/19/2025</t>
  </si>
  <si>
    <t>Grand Rapids, MI</t>
  </si>
  <si>
    <t xml:space="preserve">Christman/ Spesh - 0
</t>
  </si>
  <si>
    <t>25-0246</t>
  </si>
  <si>
    <t>Korex Addition</t>
  </si>
  <si>
    <t>3/27/2025</t>
  </si>
  <si>
    <t>Wixom, MI</t>
  </si>
  <si>
    <t xml:space="preserve">Brinkmann - 0
</t>
  </si>
  <si>
    <t>25-0281</t>
  </si>
  <si>
    <t>Lansing City Hall BC 003B Foundations</t>
  </si>
  <si>
    <t>4/2/2025</t>
  </si>
  <si>
    <t xml:space="preserve">Cl - 0
</t>
  </si>
  <si>
    <t>25-0282</t>
  </si>
  <si>
    <t>QMI 1 PADDC Concrete</t>
  </si>
  <si>
    <t>Hazel Park, MI</t>
  </si>
  <si>
    <t>21%</t>
  </si>
  <si>
    <t xml:space="preserve">KPRS Construction Services - 0
</t>
  </si>
  <si>
    <t>251084</t>
  </si>
  <si>
    <t>25-0280</t>
  </si>
  <si>
    <t>Lansing City Hall BC003A Flatwork</t>
  </si>
  <si>
    <t>5/16/2025</t>
  </si>
  <si>
    <t>7%</t>
  </si>
  <si>
    <t xml:space="preserve">Clark Lansing - 0
</t>
  </si>
  <si>
    <t>13.4%</t>
  </si>
  <si>
    <t>25-0277</t>
  </si>
  <si>
    <t xml:space="preserve">Zoetis B248 Cafe Upgrade </t>
  </si>
  <si>
    <t>25-0290</t>
  </si>
  <si>
    <t xml:space="preserve">Consumers Energy - Jackson Hart (J-1) City Gate </t>
  </si>
  <si>
    <t>4/7/2025</t>
  </si>
  <si>
    <t>Jackson , MI</t>
  </si>
  <si>
    <t xml:space="preserve">Bid was submitted via email to Henkels &amp; McCoy and separate bid number was submitted to Veterans Utility Services. </t>
  </si>
  <si>
    <t>251082</t>
  </si>
  <si>
    <t>25-0291</t>
  </si>
  <si>
    <t xml:space="preserve">Consumers Energy - Riverside (R-4) City Gate </t>
  </si>
  <si>
    <t>Falmouth, MI</t>
  </si>
  <si>
    <t xml:space="preserve">Bid was submitted to Henkels &amp; McCoy via email. A separate email was sent to Veteran's Utility Services. Contract value changed to $ 174,000 after removing earthwork scope of work. </t>
  </si>
  <si>
    <t>44%</t>
  </si>
  <si>
    <t>25-0292</t>
  </si>
  <si>
    <t xml:space="preserve">Consumers Energy - Gerwoude City Gate (M-4) </t>
  </si>
  <si>
    <t>McBain, MI</t>
  </si>
  <si>
    <t xml:space="preserve">Bid was submitted to Henkels &amp; McCoy via email. A separate email was sent to Veteran's Utility Services. </t>
  </si>
  <si>
    <t>28%</t>
  </si>
  <si>
    <t>25-0293</t>
  </si>
  <si>
    <t xml:space="preserve">Consumers Energy - Stoney Corner &amp; Burkette Rd </t>
  </si>
  <si>
    <t>25-0406</t>
  </si>
  <si>
    <t>Grand Ledge WWTP CIP Concrete</t>
  </si>
  <si>
    <t>4/8/2025</t>
  </si>
  <si>
    <t>Grand Ledge, MI</t>
  </si>
  <si>
    <t xml:space="preserve"> - 0
</t>
  </si>
  <si>
    <t>25-0340</t>
  </si>
  <si>
    <t xml:space="preserve">30th Street Valve Site </t>
  </si>
  <si>
    <t>4/22/2025</t>
  </si>
  <si>
    <t>Hamilton, MI</t>
  </si>
  <si>
    <t xml:space="preserve">Bid was submitted via email to Andrew Trainor (Veteran's Utility Services) </t>
  </si>
  <si>
    <t>55%</t>
  </si>
  <si>
    <t xml:space="preserve">Veteran's Utility Service LLC - 0
</t>
  </si>
  <si>
    <t>25-0341</t>
  </si>
  <si>
    <t xml:space="preserve">Monterey 23 TMS Interchange </t>
  </si>
  <si>
    <t>Hopkins, MI</t>
  </si>
  <si>
    <t xml:space="preserve">Bid was submitted to Andrew Trainor (Veteran's Utility Services LLC) via email. </t>
  </si>
  <si>
    <t>39%</t>
  </si>
  <si>
    <t xml:space="preserve">Veteran's Utility Services  - 0
</t>
  </si>
  <si>
    <t>25-0351</t>
  </si>
  <si>
    <t xml:space="preserve">Ann Arbor Public School - NOC Relocation </t>
  </si>
  <si>
    <t>4/24/2025</t>
  </si>
  <si>
    <t>Ann Arbor , MI</t>
  </si>
  <si>
    <t xml:space="preserve">Bid was submitted to The Christman Company via Building Connected. </t>
  </si>
  <si>
    <t>25%</t>
  </si>
  <si>
    <t>25-0358</t>
  </si>
  <si>
    <t>Kalamazoo Event Center Parking Deck</t>
  </si>
  <si>
    <t>4/25/2025</t>
  </si>
  <si>
    <t xml:space="preserve">Barton Malow/CSM - 0
</t>
  </si>
  <si>
    <t>25-0568</t>
  </si>
  <si>
    <t>Carleton Farms Landfill Leachate Tank</t>
  </si>
  <si>
    <t>4/29/2025</t>
  </si>
  <si>
    <t>Carleton, MI</t>
  </si>
  <si>
    <t>23%</t>
  </si>
  <si>
    <t>25-0395</t>
  </si>
  <si>
    <t>CD Arena Kalamazoo Event Center - BP 4-04 Slab on Grade, Elevated Slabs, Steps</t>
  </si>
  <si>
    <t>5/7/2025</t>
  </si>
  <si>
    <t>25-0473</t>
  </si>
  <si>
    <t xml:space="preserve">Harris Compressor Station </t>
  </si>
  <si>
    <t>5/8/2025</t>
  </si>
  <si>
    <t>Olivet, MI</t>
  </si>
  <si>
    <t xml:space="preserve">Henkles requested to remove Bollards ($ 10,500 deduct) from scope of work and to add Epoxy Grout under Compressor equipment ($ 35,500 add).  </t>
  </si>
  <si>
    <t>25-0454</t>
  </si>
  <si>
    <t>Belle Isle Aquarium - Concrete</t>
  </si>
  <si>
    <t>25-0414</t>
  </si>
  <si>
    <t xml:space="preserve">Clarkston Road Development - Water Well - Foundation &amp; Footings </t>
  </si>
  <si>
    <t>5/15/2025</t>
  </si>
  <si>
    <t>Oakland Township , MI</t>
  </si>
  <si>
    <t xml:space="preserve">Bid category 3.1 was submitted to Auch Company via email. Bid will be hand-delivered to Auch Company today. </t>
  </si>
  <si>
    <t xml:space="preserve">George W. Auch Company  - 0
</t>
  </si>
  <si>
    <t>25-0415</t>
  </si>
  <si>
    <t xml:space="preserve">Clarkston Rd Development - Water Well - Flat Work </t>
  </si>
  <si>
    <t>Oakland Township, MI</t>
  </si>
  <si>
    <t xml:space="preserve">Bid category 3.2 was submitted to Auch Company via email. Bid hard copies will be hand delivered to Auch Company today. </t>
  </si>
  <si>
    <t>26%</t>
  </si>
  <si>
    <t xml:space="preserve">George w. Auch Company  - 0
</t>
  </si>
  <si>
    <t>25-0457</t>
  </si>
  <si>
    <t>CDM Smith AES Petersburg - Concrete Foundations</t>
  </si>
  <si>
    <t>Petersburg, IN</t>
  </si>
  <si>
    <t xml:space="preserve">CDM Smith - 0
</t>
  </si>
  <si>
    <t>25-0440</t>
  </si>
  <si>
    <t>Chapter AA - FHP Team CIP Project</t>
  </si>
  <si>
    <t>Submitted with FH Paschen under a teaming agreement.  FHP is the lead on this one.</t>
  </si>
  <si>
    <t xml:space="preserve">J.H. Findorff &amp; Son, Inc. - 0
</t>
  </si>
  <si>
    <t>25-0496</t>
  </si>
  <si>
    <t>LBWL DEP Stair Tower</t>
  </si>
  <si>
    <t>8%</t>
  </si>
  <si>
    <t xml:space="preserve">LBWL  - 0
</t>
  </si>
  <si>
    <t>251106</t>
  </si>
  <si>
    <t>24-0611</t>
  </si>
  <si>
    <t xml:space="preserve">Jackson Health Services - Parking Lot </t>
  </si>
  <si>
    <t>5/29/2025</t>
  </si>
  <si>
    <t>7/2/2025</t>
  </si>
  <si>
    <t xml:space="preserve">Bid scope was revised based on Teams' call on May 29th, 2025. </t>
  </si>
  <si>
    <t xml:space="preserve">Veregy  - 0
</t>
  </si>
  <si>
    <t>23.8%</t>
  </si>
  <si>
    <t>25-0463</t>
  </si>
  <si>
    <t>DTE Belle River ILI Expansion</t>
  </si>
  <si>
    <t>China, MI</t>
  </si>
  <si>
    <t xml:space="preserve">Precision Pipeline - 0
</t>
  </si>
  <si>
    <t>251156</t>
  </si>
  <si>
    <t>25-0567</t>
  </si>
  <si>
    <t>Pfizer Metrology Lab</t>
  </si>
  <si>
    <t>5/30/2025</t>
  </si>
  <si>
    <t>8/20/2025</t>
  </si>
  <si>
    <t>14.8%</t>
  </si>
  <si>
    <t>25-0506</t>
  </si>
  <si>
    <t>The Metropolitan Ann Arbor</t>
  </si>
  <si>
    <t>6/13/2025</t>
  </si>
  <si>
    <t xml:space="preserve">Landmark Properties - 0
</t>
  </si>
  <si>
    <t>25-0512</t>
  </si>
  <si>
    <t xml:space="preserve">	Lansing Public Safety - Fire Training Facility - WC 10F - Structural Concrete </t>
  </si>
  <si>
    <t>6/18/2025</t>
  </si>
  <si>
    <t>Lansing , MI</t>
  </si>
  <si>
    <t xml:space="preserve">The bid was submitted to Nick Nelson (Christman Company) via email. </t>
  </si>
  <si>
    <t>25-0569</t>
  </si>
  <si>
    <t>Lansing City Hall BP3 Site Concrete</t>
  </si>
  <si>
    <t>6/19/2025</t>
  </si>
  <si>
    <t>25-0576</t>
  </si>
  <si>
    <t>TransCanada South Chester Separator</t>
  </si>
  <si>
    <t>6/30/2025</t>
  </si>
  <si>
    <t>Johannesburg, MI</t>
  </si>
  <si>
    <t>38%</t>
  </si>
  <si>
    <t>25-0566</t>
  </si>
  <si>
    <t>Brent Run Blower Flare</t>
  </si>
  <si>
    <t>Montrose, MI</t>
  </si>
  <si>
    <t>25-0571</t>
  </si>
  <si>
    <t xml:space="preserve">Pfizer KIIP Master Substation #2 - BP 3.1 Concrete </t>
  </si>
  <si>
    <t>7/7/2025</t>
  </si>
  <si>
    <t xml:space="preserve">Bid was submitted to the Austin Company via email. </t>
  </si>
  <si>
    <t>25-0577</t>
  </si>
  <si>
    <t>Woodland Correctional Facility Generator</t>
  </si>
  <si>
    <t>7/8/2025</t>
  </si>
  <si>
    <t>Whitmore Lake, MI</t>
  </si>
  <si>
    <t>25-0587</t>
  </si>
  <si>
    <t>Kalamazoo Country Club - Irrigation Building</t>
  </si>
  <si>
    <t>7/10/2025</t>
  </si>
  <si>
    <t>34%</t>
  </si>
  <si>
    <t xml:space="preserve">CSM Group - 0
</t>
  </si>
  <si>
    <t>25-0532</t>
  </si>
  <si>
    <t>Detroit Arsenal - Structural Concrete</t>
  </si>
  <si>
    <t xml:space="preserve">Walsh Group - 0
</t>
  </si>
  <si>
    <t>25-0533</t>
  </si>
  <si>
    <t>Detroit Arsenal - Site Concrete</t>
  </si>
  <si>
    <t>25-0625</t>
  </si>
  <si>
    <t>WSU Health Sciences Building BP2 - WC 10 Structural Concrete</t>
  </si>
  <si>
    <t>7/18/2025</t>
  </si>
  <si>
    <t>VE Items:
- Mapei Fibers ILO Resteel - Deduct $144,000
- Helix Fibers ILO Resteel - Deduct $64,000</t>
  </si>
  <si>
    <t>25-0564</t>
  </si>
  <si>
    <t xml:space="preserve">NMU Student Housing </t>
  </si>
  <si>
    <t>7/26/2025</t>
  </si>
  <si>
    <t>Marquette, MI</t>
  </si>
  <si>
    <t xml:space="preserve">Stevens Construction Corp. - 0
</t>
  </si>
  <si>
    <t>25-0658</t>
  </si>
  <si>
    <t>Lifeways-Concrete</t>
  </si>
  <si>
    <t>7/30/2025</t>
  </si>
  <si>
    <t>Hillsdale, MI</t>
  </si>
  <si>
    <t xml:space="preserve">RW Mercer - 0
</t>
  </si>
  <si>
    <t>25-0914</t>
  </si>
  <si>
    <t>Pfizer B41 SCO Dock Upgrade</t>
  </si>
  <si>
    <t>8/14/2025</t>
  </si>
  <si>
    <t>25-0707</t>
  </si>
  <si>
    <t>MacAllister CAT - Metro South - Building &amp; Site Concrete - Hagerman Inc.</t>
  </si>
  <si>
    <t>8/15/2025</t>
  </si>
  <si>
    <t>Brownstown Charter Township , MI</t>
  </si>
  <si>
    <t xml:space="preserve">Bid was submitted to Hagerman through building connected. 
Shiel Sexton bid amount is $ 867,000 </t>
  </si>
  <si>
    <t xml:space="preserve">Hagerman Inc.  - 0
Shiel Sexton - 0
</t>
  </si>
  <si>
    <t>25-0728</t>
  </si>
  <si>
    <t>Grand Ledge Medical Office Building</t>
  </si>
  <si>
    <t>8/19/2025</t>
  </si>
  <si>
    <t>251137</t>
  </si>
  <si>
    <t>25-0915</t>
  </si>
  <si>
    <t>Consumers Energy Overisel Air Receiver</t>
  </si>
  <si>
    <t>8/28/2025</t>
  </si>
  <si>
    <t>10/13/2025</t>
  </si>
  <si>
    <t>33%</t>
  </si>
  <si>
    <t>3.9%</t>
  </si>
  <si>
    <t>25-0917</t>
  </si>
  <si>
    <t>Air Liquide Gernaat Interconnect</t>
  </si>
  <si>
    <t>8/29/2025</t>
  </si>
  <si>
    <t>25-0916</t>
  </si>
  <si>
    <t>Romulus Trade Center - Building 4</t>
  </si>
  <si>
    <t>9/2/2025</t>
  </si>
  <si>
    <t xml:space="preserve">Br - 0
</t>
  </si>
  <si>
    <t>251162</t>
  </si>
  <si>
    <t>25-0830</t>
  </si>
  <si>
    <t xml:space="preserve">Brent Run Bullet Tank </t>
  </si>
  <si>
    <t>9/19/2025</t>
  </si>
  <si>
    <t>10/24/2025</t>
  </si>
  <si>
    <t xml:space="preserve">D &amp; R Earthmoving LLC  - 0
</t>
  </si>
  <si>
    <t>11.4%</t>
  </si>
  <si>
    <t>25-0855</t>
  </si>
  <si>
    <t>State Disposal Leachate Tank Installation</t>
  </si>
  <si>
    <t>9/23/2025</t>
  </si>
  <si>
    <t>25-0849</t>
  </si>
  <si>
    <t>Mason DPW - Building Foundations</t>
  </si>
  <si>
    <t>Mason, MI</t>
  </si>
  <si>
    <t xml:space="preserve">Clark Construction Company - 0
Quadrate - 0
</t>
  </si>
  <si>
    <t>25-0850</t>
  </si>
  <si>
    <t>Mason DPW - Flatwork</t>
  </si>
  <si>
    <t>25-0851</t>
  </si>
  <si>
    <t>Mason DPW - Site Concrete</t>
  </si>
  <si>
    <t>25-0902</t>
  </si>
  <si>
    <t xml:space="preserve">DTE - Clymers CO2 Capture Facility </t>
  </si>
  <si>
    <t>10/7/2025</t>
  </si>
  <si>
    <t>Logansport , IN</t>
  </si>
  <si>
    <t xml:space="preserve">Bid was submitted via email to Henkels &amp; McCoy, and it included second proposal with limited scope which bid amount was $ 975,359.00 (Amount submitted to H &amp; M $ 977,000.00) for 7 weeks duration. </t>
  </si>
  <si>
    <t>25-0920</t>
  </si>
  <si>
    <t>KCC Outbuildings</t>
  </si>
  <si>
    <t>10/10/2025</t>
  </si>
  <si>
    <t>kalamazoo, MI</t>
  </si>
  <si>
    <t>25-0924</t>
  </si>
  <si>
    <t>Ottawa County Farms - Leachate Loadout Modifications</t>
  </si>
  <si>
    <t>Coopersville, MI</t>
  </si>
  <si>
    <t>36%</t>
  </si>
  <si>
    <t xml:space="preserve">DNR - 0
</t>
  </si>
  <si>
    <t>25-0927</t>
  </si>
  <si>
    <t>Nicor Gas Bloomington Compressor Station</t>
  </si>
  <si>
    <t>10/14/2025</t>
  </si>
  <si>
    <t>Gridley, IL</t>
  </si>
  <si>
    <t>25-0943</t>
  </si>
  <si>
    <t>AWS-CMH165-Security Building</t>
  </si>
  <si>
    <t>10/16/2025</t>
  </si>
  <si>
    <t>Wilmington, OH</t>
  </si>
  <si>
    <t xml:space="preserve">Skanska - 0
</t>
  </si>
  <si>
    <t>25-1010</t>
  </si>
  <si>
    <t>St. Thomas Aquinas</t>
  </si>
  <si>
    <t>11/4/2025</t>
  </si>
  <si>
    <t>Add Alternate to Excavate and Backfill - $10,000</t>
  </si>
  <si>
    <t>25-1020</t>
  </si>
  <si>
    <t>UM Student &amp; Faculty Housing - 003A Building Concrete Flatwork</t>
  </si>
  <si>
    <t>11/7/2025</t>
  </si>
  <si>
    <t xml:space="preserve">Clark Construction Company - 0
</t>
  </si>
  <si>
    <t>25-1021</t>
  </si>
  <si>
    <t>UM Student &amp; Faculty Housing - 003B Foundations &amp; Structural Concrete</t>
  </si>
  <si>
    <t>25-1028</t>
  </si>
  <si>
    <t>LBWL Steam Conversion Station and Chilled Water Pipe Relocation - Concrete</t>
  </si>
  <si>
    <t xml:space="preserve">Northern Boiler - 0
</t>
  </si>
  <si>
    <t>25-1041</t>
  </si>
  <si>
    <t>625 Church Street Ann Arbor</t>
  </si>
  <si>
    <t>11/11/2025</t>
  </si>
  <si>
    <t xml:space="preserve">Power Construction - 0
</t>
  </si>
  <si>
    <t>25-1056</t>
  </si>
  <si>
    <t>Coolwater Facility WC 10 Structural Concrete</t>
  </si>
  <si>
    <t>11/18/2025</t>
  </si>
  <si>
    <t>Mattawan, MI</t>
  </si>
  <si>
    <t>25-1130</t>
  </si>
  <si>
    <t>Bluewater Bridge Concrete</t>
  </si>
  <si>
    <t>12/12/2025</t>
  </si>
  <si>
    <t>Port Huron, MI</t>
  </si>
  <si>
    <t>25-1131</t>
  </si>
  <si>
    <t>Quest Diagnostics Project Pepper Concrete</t>
  </si>
  <si>
    <t>Southfield, MI</t>
  </si>
  <si>
    <t xml:space="preserve">Turner Construction Company - 0
</t>
  </si>
  <si>
    <t>26-0029</t>
  </si>
  <si>
    <t>TC Energy Lake George Concrete</t>
  </si>
  <si>
    <t>Lake Georger, MI</t>
  </si>
  <si>
    <t>25-1134</t>
  </si>
  <si>
    <t xml:space="preserve">Tallgrass SIRE Capture Facility - Concrete </t>
  </si>
  <si>
    <t>12/17/2025</t>
  </si>
  <si>
    <t>Council Bluffs, IA</t>
  </si>
  <si>
    <t>26-0030</t>
  </si>
  <si>
    <t>Consumers Energy Overisel NOx Reduction</t>
  </si>
  <si>
    <t>12/18/2025</t>
  </si>
  <si>
    <t>26-0032</t>
  </si>
  <si>
    <t>Kellogg Community Credit Union HQ BP1 Site Concrete</t>
  </si>
  <si>
    <t>26-0033</t>
  </si>
  <si>
    <t>Harbor Transit New Operations Center Concrete</t>
  </si>
  <si>
    <t>Grand Haven, MI</t>
  </si>
  <si>
    <t>25-1163</t>
  </si>
  <si>
    <t>Old National Bank Concrete</t>
  </si>
  <si>
    <t>12/19/2025</t>
  </si>
  <si>
    <t xml:space="preserve">Healy Construction Services - 0
</t>
  </si>
  <si>
    <t>25-1164</t>
  </si>
  <si>
    <t>Meijer Store 342</t>
  </si>
  <si>
    <t>Waterville, OH</t>
  </si>
  <si>
    <t xml:space="preserve">Rockford Construction - 0
</t>
  </si>
  <si>
    <t>Column Name</t>
  </si>
  <si>
    <t>Type</t>
  </si>
  <si>
    <t>Values / Format</t>
  </si>
  <si>
    <t>Purpose / Why It Matters</t>
  </si>
  <si>
    <t>Status ✅</t>
  </si>
  <si>
    <t>Dropdown (existing)</t>
  </si>
  <si>
    <t>Awarded / Closed / Open</t>
  </si>
  <si>
    <t>Core outcome — determines if bid is included in hit rate calc</t>
  </si>
  <si>
    <t>Bid Amount ✅</t>
  </si>
  <si>
    <t>Currency (existing)</t>
  </si>
  <si>
    <t>$#,##0</t>
  </si>
  <si>
    <t>Our submitted price</t>
  </si>
  <si>
    <t>Contract Amount ✅</t>
  </si>
  <si>
    <t>Final contract value on awarded work</t>
  </si>
  <si>
    <t>Market Sector ✅</t>
  </si>
  <si>
    <t>Text (existing)</t>
  </si>
  <si>
    <t>Healthcare, Industrial/Power, etc.</t>
  </si>
  <si>
    <t>Allows segmentation of win rates by project type</t>
  </si>
  <si>
    <t>Estimator ✅</t>
  </si>
  <si>
    <t>Attribution for hit rate analysis per estimator</t>
  </si>
  <si>
    <t>Region ✅</t>
  </si>
  <si>
    <t>CCI Southeast MI, etc.</t>
  </si>
  <si>
    <t>Regional performance comparison</t>
  </si>
  <si>
    <t>Delivery Method 🆕</t>
  </si>
  <si>
    <t>Dropdown (NEW)</t>
  </si>
  <si>
    <t>Hard Bid / Negotiated / CM at Risk / Design-Build / Other</t>
  </si>
  <si>
    <t>CRITICAL — your negotiated hit rate is almost certainly far higher than hard bid. Mixing them distorts your ratio. Segment immediately.</t>
  </si>
  <si>
    <t># of Bidders 🆕</t>
  </si>
  <si>
    <t>Whole number (NEW)</t>
  </si>
  <si>
    <t>1 – 20</t>
  </si>
  <si>
    <t>Normalizes hit rate. 1 of 8 bidders at 12% is average; 1 of 2 at 50% is underperforming if you had the relationship.</t>
  </si>
  <si>
    <t>Opportunity Source 🆕</t>
  </si>
  <si>
    <t>Existing Customer / Referral / Repeat Work / Cold RFP / Owner Direct / Other</t>
  </si>
  <si>
    <t>Identifies which lead sources convert best. Helps decide where estimating hours are worth spending.</t>
  </si>
  <si>
    <t>Go/No-Go Score 🆕</t>
  </si>
  <si>
    <t>1=Low / 2=Medium / 3=High</t>
  </si>
  <si>
    <t>Captures confidence AT TIME OF BID. Compare hit rate of Score-3 bids vs Score-1 — if they're similar, your scoring model needs work.</t>
  </si>
  <si>
    <t>Loss Reason 🆕</t>
  </si>
  <si>
    <t>Price Too High / No Relationship / Scope Mismatch / Competitor Relationship / No-Bid After Review / Budget Cut / Unknown</t>
  </si>
  <si>
    <t>The single most valuable new column. Without this, 'Closed' is a black hole. Lets you distinguish pricing misses from unwinnable bids.</t>
  </si>
  <si>
    <t>Competitor Who Won 🆕</t>
  </si>
  <si>
    <t>Text (NEW)</t>
  </si>
  <si>
    <t>GC or CM name</t>
  </si>
  <si>
    <t>Reveals if you're consistently losing to the same competitor in certain sectors or with certain owners — a relationship problem, not a price problem.</t>
  </si>
  <si>
    <t>Our Rank (if lost) 🆕</t>
  </si>
  <si>
    <t>1 = lowest bid</t>
  </si>
  <si>
    <t>Were you 2nd of 8 (close loss) or 7th of 8 (not competitive)? Dramatically changes what action to take.</t>
  </si>
  <si>
    <t>Bid Delta % 🆕</t>
  </si>
  <si>
    <t>Formula (AUTO)</t>
  </si>
  <si>
    <t>Auto-calculated: (Contract − Bid) / Bid</t>
  </si>
  <si>
    <t>Shows how accurate your estimating is on wins. Consistently negative = leaving money on the table. Consistently high = you got lucky or scope changed.</t>
  </si>
  <si>
    <t>Hard Bid</t>
  </si>
  <si>
    <r>
      <rPr>
        <b/>
        <sz val="10"/>
        <color rgb="FF9F662D"/>
        <rFont val="Arial"/>
        <family val="2"/>
      </rPr>
      <t>⬛</t>
    </r>
    <r>
      <rPr>
        <b/>
        <sz val="10"/>
        <color rgb="FFFFFFFF"/>
        <rFont val="Arial"/>
        <charset val="1"/>
      </rPr>
      <t xml:space="preserve">  BID VOLUME BY MONTH</t>
    </r>
  </si>
  <si>
    <r>
      <rPr>
        <b/>
        <sz val="10"/>
        <color rgb="FF9F662D"/>
        <rFont val="Arial"/>
        <family val="2"/>
      </rPr>
      <t>⬛</t>
    </r>
    <r>
      <rPr>
        <b/>
        <sz val="10"/>
        <color rgb="FFFFFFFF"/>
        <rFont val="Arial"/>
        <charset val="1"/>
      </rPr>
      <t xml:space="preserve">  HIT RATE BY ESTIMATOR</t>
    </r>
  </si>
  <si>
    <r>
      <rPr>
        <b/>
        <sz val="10"/>
        <color rgb="FF9F662D"/>
        <rFont val="Arial"/>
        <family val="2"/>
      </rPr>
      <t>⬛</t>
    </r>
    <r>
      <rPr>
        <b/>
        <sz val="10"/>
        <color rgb="FFFFFFFF"/>
        <rFont val="Arial"/>
        <charset val="1"/>
      </rPr>
      <t xml:space="preserve">  HIT RATE BY MARKET SECTOR</t>
    </r>
  </si>
  <si>
    <r>
      <rPr>
        <b/>
        <sz val="10"/>
        <color rgb="FF9F662D"/>
        <rFont val="Arial"/>
        <family val="2"/>
      </rPr>
      <t>⬛</t>
    </r>
    <r>
      <rPr>
        <b/>
        <sz val="10"/>
        <color rgb="FFFFFFFF"/>
        <rFont val="Arial"/>
        <charset val="1"/>
      </rPr>
      <t xml:space="preserve">  HIT RATE BY REGION</t>
    </r>
  </si>
  <si>
    <r>
      <t xml:space="preserve">CHRISTMAN BIG — BID-TO-HIT DASHBOARD </t>
    </r>
    <r>
      <rPr>
        <b/>
        <sz val="16"/>
        <color rgb="FF9F662D"/>
        <rFont val="Arial"/>
        <family val="2"/>
      </rPr>
      <t>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</si>
</sst>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"/>
    <numFmt numFmtId="166" formatCode="yyyy\-mm\-dd\ h:mm:ss"/>
    <numFmt numFmtId="167" formatCode="0.0%;\-0.0%;\-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1F3864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i/>
      <sz val="9"/>
      <color rgb="FF1F3864"/>
      <name val="Arial"/>
      <charset val="1"/>
    </font>
    <font>
      <b/>
      <sz val="10"/>
      <color rgb="FF9F662D"/>
      <name val="Arial"/>
      <family val="2"/>
    </font>
    <font>
      <b/>
      <sz val="10"/>
      <color rgb="FFFFFFFF"/>
      <name val="Arial"/>
      <family val="2"/>
    </font>
    <font>
      <b/>
      <sz val="16"/>
      <color rgb="FF9F662D"/>
      <name val="Arial"/>
      <family val="2"/>
    </font>
    <font>
      <b/>
      <sz val="16"/>
      <color rgb="FFFFFFFF"/>
      <name val="Arial"/>
      <family val="2"/>
    </font>
    <font>
      <i/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FFDE7"/>
      </patternFill>
    </fill>
    <fill>
      <patternFill patternType="solid">
        <fgColor rgb="FFF2F2F2"/>
        <bgColor rgb="FFFFFDE7"/>
      </patternFill>
    </fill>
    <fill>
      <patternFill patternType="solid">
        <fgColor rgb="FFE2EFDA"/>
        <bgColor rgb="FFF2F2F2"/>
      </patternFill>
    </fill>
    <fill>
      <patternFill patternType="solid">
        <fgColor rgb="FF9F662D"/>
        <bgColor rgb="FFFF9900"/>
      </patternFill>
    </fill>
    <fill>
      <patternFill patternType="solid">
        <fgColor theme="1"/>
        <bgColor rgb="FF333399"/>
      </patternFill>
    </fill>
    <fill>
      <patternFill patternType="solid">
        <fgColor rgb="FF9F662D"/>
        <bgColor rgb="FFE2EFDA"/>
      </patternFill>
    </fill>
    <fill>
      <patternFill patternType="solid">
        <fgColor rgb="FF9F662D"/>
        <bgColor rgb="FF0066CC"/>
      </patternFill>
    </fill>
    <fill>
      <patternFill patternType="solid">
        <fgColor theme="1"/>
        <bgColor rgb="FFFF9900"/>
      </patternFill>
    </fill>
    <fill>
      <patternFill patternType="solid">
        <fgColor rgb="FF9F662D"/>
        <bgColor rgb="FF333399"/>
      </patternFill>
    </fill>
    <fill>
      <patternFill patternType="solid">
        <fgColor rgb="FFEFDBC7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9" fontId="6" fillId="5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166" fontId="5" fillId="6" borderId="2" xfId="0" applyNumberFormat="1" applyFont="1" applyFill="1" applyBorder="1" applyAlignment="1">
      <alignment horizontal="left" vertical="center"/>
    </xf>
    <xf numFmtId="167" fontId="5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9C0006"/>
        <name val="Arial"/>
        <charset val="1"/>
      </font>
      <fill>
        <patternFill>
          <bgColor rgb="FFFCE4D6"/>
        </patternFill>
      </fill>
    </dxf>
    <dxf>
      <font>
        <b/>
        <color rgb="FF375623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FDBC7"/>
      <color rgb="FF9F66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5"/>
  <sheetViews>
    <sheetView showGridLines="0" zoomScaleNormal="100" workbookViewId="0">
      <selection activeCell="B7" sqref="B7:C7"/>
    </sheetView>
  </sheetViews>
  <sheetFormatPr defaultColWidth="8.7109375" defaultRowHeight="15" x14ac:dyDescent="0.25"/>
  <cols>
    <col min="1" max="1" width="2" customWidth="1"/>
    <col min="2" max="2" width="24" customWidth="1"/>
    <col min="3" max="4" width="8" customWidth="1"/>
    <col min="5" max="5" width="10" customWidth="1"/>
    <col min="6" max="6" width="3.28515625" customWidth="1"/>
    <col min="7" max="7" width="5.85546875" customWidth="1"/>
    <col min="8" max="8" width="26" customWidth="1"/>
    <col min="9" max="10" width="8" customWidth="1"/>
    <col min="11" max="11" width="10" customWidth="1"/>
    <col min="12" max="13" width="14" customWidth="1"/>
  </cols>
  <sheetData>
    <row r="2" spans="2:13" x14ac:dyDescent="0.25">
      <c r="B2" s="27" t="s">
        <v>647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2:13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2:13" x14ac:dyDescent="0.25">
      <c r="B4" s="29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6" spans="2:13" ht="30" customHeight="1" x14ac:dyDescent="0.25">
      <c r="B6" s="30" t="s">
        <v>1</v>
      </c>
      <c r="C6" s="30"/>
      <c r="D6" s="30" t="s">
        <v>2</v>
      </c>
      <c r="E6" s="30"/>
      <c r="F6" s="30" t="s">
        <v>3</v>
      </c>
      <c r="G6" s="30"/>
      <c r="H6" s="30" t="s">
        <v>4</v>
      </c>
      <c r="I6" s="30"/>
      <c r="J6" s="30" t="s">
        <v>5</v>
      </c>
      <c r="K6" s="30"/>
      <c r="L6" s="30" t="s">
        <v>6</v>
      </c>
      <c r="M6" s="30"/>
    </row>
    <row r="7" spans="2:13" ht="36" customHeight="1" x14ac:dyDescent="0.25">
      <c r="B7" s="25">
        <f>COUNTIF(Estimating!A2:A200,"Awarded")+COUNTIF(Estimating!A2:A200,"Closed")</f>
        <v>95</v>
      </c>
      <c r="C7" s="25"/>
      <c r="D7" s="25">
        <f>COUNTIF(Estimating!A2:A200,"Awarded")</f>
        <v>19</v>
      </c>
      <c r="E7" s="25"/>
      <c r="F7" s="25">
        <f>COUNTIF(Estimating!A2:A200,"Closed")</f>
        <v>76</v>
      </c>
      <c r="G7" s="25"/>
      <c r="H7" s="26">
        <f>IFERROR(COUNTIF(Estimating!A2:A200,"Awarded")/(COUNTIF(Estimating!A2:A200,"Awarded")+COUNTIF(Estimating!A2:A200,"Closed")),0)</f>
        <v>0.2</v>
      </c>
      <c r="I7" s="26"/>
      <c r="J7" s="22">
        <f>IFERROR(AVERAGEIF(Estimating!A2:A200,"&lt;&gt;Open",Estimating!J2:J200),0)</f>
        <v>2053584.3894736841</v>
      </c>
      <c r="K7" s="22"/>
      <c r="L7" s="22">
        <f>IFERROR(AVERAGEIF(Estimating!A2:A200,"Awarded",Estimating!N2:N200),0)</f>
        <v>777297.31578947371</v>
      </c>
      <c r="M7" s="22"/>
    </row>
    <row r="9" spans="2:13" ht="21.75" customHeight="1" x14ac:dyDescent="0.25">
      <c r="B9" s="23" t="s">
        <v>645</v>
      </c>
      <c r="C9" s="24"/>
      <c r="D9" s="24"/>
      <c r="E9" s="24"/>
      <c r="F9" s="24"/>
      <c r="G9" s="24"/>
      <c r="H9" s="23" t="s">
        <v>644</v>
      </c>
      <c r="I9" s="24"/>
      <c r="J9" s="24"/>
      <c r="K9" s="24"/>
      <c r="L9" s="24"/>
    </row>
    <row r="10" spans="2:13" ht="19.5" customHeight="1" x14ac:dyDescent="0.25">
      <c r="B10" s="18" t="s">
        <v>7</v>
      </c>
      <c r="C10" s="18" t="s">
        <v>8</v>
      </c>
      <c r="D10" s="18" t="s">
        <v>2</v>
      </c>
      <c r="E10" s="18" t="s">
        <v>9</v>
      </c>
      <c r="H10" s="18" t="s">
        <v>10</v>
      </c>
      <c r="I10" s="18" t="s">
        <v>8</v>
      </c>
      <c r="J10" s="18" t="s">
        <v>2</v>
      </c>
      <c r="K10" s="18" t="s">
        <v>9</v>
      </c>
    </row>
    <row r="11" spans="2:13" x14ac:dyDescent="0.25">
      <c r="B11" s="1" t="s">
        <v>11</v>
      </c>
      <c r="C11" s="2">
        <f>COUNTIFS(Estimating!C$2:C$200,B11,Estimating!A$2:A$200,"&lt;&gt;Open")</f>
        <v>1</v>
      </c>
      <c r="D11" s="2">
        <f>COUNTIFS(Estimating!C$2:C$200,B11,Estimating!A$2:A$200,"Awarded")</f>
        <v>0</v>
      </c>
      <c r="E11" s="3">
        <f t="shared" ref="E11:E23" si="0">IFERROR(D11/C11,"-")</f>
        <v>0</v>
      </c>
      <c r="H11" s="1" t="s">
        <v>12</v>
      </c>
      <c r="I11" s="2">
        <f>COUNTIFS(Estimating!M$2:M$200,H11,Estimating!A$2:A$200,"&lt;&gt;Open")</f>
        <v>2</v>
      </c>
      <c r="J11" s="2">
        <f>COUNTIFS(Estimating!M$2:M$200,H11,Estimating!A$2:A$200,"Awarded")</f>
        <v>0</v>
      </c>
      <c r="K11" s="3">
        <f t="shared" ref="K11:K19" si="1">IFERROR(J11/I11,"-")</f>
        <v>0</v>
      </c>
    </row>
    <row r="12" spans="2:13" x14ac:dyDescent="0.25">
      <c r="B12" s="4" t="s">
        <v>13</v>
      </c>
      <c r="C12" s="5">
        <f>COUNTIFS(Estimating!C$2:C$200,B12,Estimating!A$2:A$200,"&lt;&gt;Open")</f>
        <v>4</v>
      </c>
      <c r="D12" s="5">
        <f>COUNTIFS(Estimating!C$2:C$200,B12,Estimating!A$2:A$200,"Awarded")</f>
        <v>1</v>
      </c>
      <c r="E12" s="6">
        <f t="shared" si="0"/>
        <v>0.25</v>
      </c>
      <c r="H12" s="4" t="s">
        <v>14</v>
      </c>
      <c r="I12" s="5">
        <f>COUNTIFS(Estimating!M$2:M$200,H12,Estimating!A$2:A$200,"&lt;&gt;Open")</f>
        <v>26</v>
      </c>
      <c r="J12" s="5">
        <f>COUNTIFS(Estimating!M$2:M$200,H12,Estimating!A$2:A$200,"Awarded")</f>
        <v>5</v>
      </c>
      <c r="K12" s="6">
        <f t="shared" si="1"/>
        <v>0.19230769230769232</v>
      </c>
    </row>
    <row r="13" spans="2:13" x14ac:dyDescent="0.25">
      <c r="B13" s="1" t="s">
        <v>15</v>
      </c>
      <c r="C13" s="2">
        <f>COUNTIFS(Estimating!C$2:C$200,B13,Estimating!A$2:A$200,"&lt;&gt;Open")</f>
        <v>28</v>
      </c>
      <c r="D13" s="2">
        <f>COUNTIFS(Estimating!C$2:C$200,B13,Estimating!A$2:A$200,"Awarded")</f>
        <v>5</v>
      </c>
      <c r="E13" s="3">
        <f t="shared" si="0"/>
        <v>0.17857142857142858</v>
      </c>
      <c r="H13" s="1" t="s">
        <v>16</v>
      </c>
      <c r="I13" s="2">
        <f>COUNTIFS(Estimating!M$2:M$200,H13,Estimating!A$2:A$200,"&lt;&gt;Open")</f>
        <v>9</v>
      </c>
      <c r="J13" s="2">
        <f>COUNTIFS(Estimating!M$2:M$200,H13,Estimating!A$2:A$200,"Awarded")</f>
        <v>0</v>
      </c>
      <c r="K13" s="3">
        <f t="shared" si="1"/>
        <v>0</v>
      </c>
    </row>
    <row r="14" spans="2:13" x14ac:dyDescent="0.25">
      <c r="B14" s="4" t="s">
        <v>17</v>
      </c>
      <c r="C14" s="5">
        <f>COUNTIFS(Estimating!C$2:C$200,B14,Estimating!A$2:A$200,"&lt;&gt;Open")</f>
        <v>6</v>
      </c>
      <c r="D14" s="5">
        <f>COUNTIFS(Estimating!C$2:C$200,B14,Estimating!A$2:A$200,"Awarded")</f>
        <v>2</v>
      </c>
      <c r="E14" s="6">
        <f t="shared" si="0"/>
        <v>0.33333333333333331</v>
      </c>
      <c r="H14" s="4" t="s">
        <v>18</v>
      </c>
      <c r="I14" s="5">
        <f>COUNTIFS(Estimating!M$2:M$200,H14,Estimating!A$2:A$200,"&lt;&gt;Open")</f>
        <v>23</v>
      </c>
      <c r="J14" s="5">
        <f>COUNTIFS(Estimating!M$2:M$200,H14,Estimating!A$2:A$200,"Awarded")</f>
        <v>8</v>
      </c>
      <c r="K14" s="6">
        <f t="shared" si="1"/>
        <v>0.34782608695652173</v>
      </c>
    </row>
    <row r="15" spans="2:13" x14ac:dyDescent="0.25">
      <c r="B15" s="1" t="s">
        <v>19</v>
      </c>
      <c r="C15" s="2">
        <f>COUNTIFS(Estimating!C$2:C$200,B15,Estimating!A$2:A$200,"&lt;&gt;Open")</f>
        <v>1</v>
      </c>
      <c r="D15" s="2">
        <f>COUNTIFS(Estimating!C$2:C$200,B15,Estimating!A$2:A$200,"Awarded")</f>
        <v>0</v>
      </c>
      <c r="E15" s="3">
        <f t="shared" si="0"/>
        <v>0</v>
      </c>
      <c r="H15" s="1" t="s">
        <v>20</v>
      </c>
      <c r="I15" s="2">
        <f>COUNTIFS(Estimating!M$2:M$200,H15,Estimating!A$2:A$200,"&lt;&gt;Open")</f>
        <v>3</v>
      </c>
      <c r="J15" s="2">
        <f>COUNTIFS(Estimating!M$2:M$200,H15,Estimating!A$2:A$200,"Awarded")</f>
        <v>0</v>
      </c>
      <c r="K15" s="3">
        <f t="shared" si="1"/>
        <v>0</v>
      </c>
    </row>
    <row r="16" spans="2:13" x14ac:dyDescent="0.25">
      <c r="B16" s="4" t="s">
        <v>21</v>
      </c>
      <c r="C16" s="5">
        <f>COUNTIFS(Estimating!C$2:C$200,B16,Estimating!A$2:A$200,"&lt;&gt;Open")</f>
        <v>1</v>
      </c>
      <c r="D16" s="5">
        <f>COUNTIFS(Estimating!C$2:C$200,B16,Estimating!A$2:A$200,"Awarded")</f>
        <v>0</v>
      </c>
      <c r="E16" s="6">
        <f t="shared" si="0"/>
        <v>0</v>
      </c>
      <c r="H16" s="4" t="s">
        <v>22</v>
      </c>
      <c r="I16" s="5">
        <f>COUNTIFS(Estimating!M$2:M$200,H16,Estimating!A$2:A$200,"&lt;&gt;Open")</f>
        <v>28</v>
      </c>
      <c r="J16" s="5">
        <f>COUNTIFS(Estimating!M$2:M$200,H16,Estimating!A$2:A$200,"Awarded")</f>
        <v>5</v>
      </c>
      <c r="K16" s="6">
        <f t="shared" si="1"/>
        <v>0.17857142857142858</v>
      </c>
    </row>
    <row r="17" spans="2:12" x14ac:dyDescent="0.25">
      <c r="B17" s="1" t="s">
        <v>23</v>
      </c>
      <c r="C17" s="2">
        <f>COUNTIFS(Estimating!C$2:C$200,B17,Estimating!A$2:A$200,"&lt;&gt;Open")</f>
        <v>29</v>
      </c>
      <c r="D17" s="2">
        <f>COUNTIFS(Estimating!C$2:C$200,B17,Estimating!A$2:A$200,"Awarded")</f>
        <v>9</v>
      </c>
      <c r="E17" s="3">
        <f t="shared" si="0"/>
        <v>0.31034482758620691</v>
      </c>
      <c r="H17" s="1" t="s">
        <v>24</v>
      </c>
      <c r="I17" s="2">
        <f>COUNTIFS(Estimating!M$2:M$200,H17,Estimating!A$2:A$200,"&lt;&gt;Open")</f>
        <v>2</v>
      </c>
      <c r="J17" s="2">
        <f>COUNTIFS(Estimating!M$2:M$200,H17,Estimating!A$2:A$200,"Awarded")</f>
        <v>1</v>
      </c>
      <c r="K17" s="3">
        <f t="shared" si="1"/>
        <v>0.5</v>
      </c>
    </row>
    <row r="18" spans="2:12" x14ac:dyDescent="0.25">
      <c r="B18" s="4" t="s">
        <v>25</v>
      </c>
      <c r="C18" s="5">
        <f>COUNTIFS(Estimating!C$2:C$200,B18,Estimating!A$2:A$200,"&lt;&gt;Open")</f>
        <v>2</v>
      </c>
      <c r="D18" s="5">
        <f>COUNTIFS(Estimating!C$2:C$200,B18,Estimating!A$2:A$200,"Awarded")</f>
        <v>0</v>
      </c>
      <c r="E18" s="6">
        <f t="shared" si="0"/>
        <v>0</v>
      </c>
      <c r="H18" s="4" t="s">
        <v>26</v>
      </c>
      <c r="I18" s="5">
        <f>COUNTIFS(Estimating!M$2:M$200,H18,Estimating!A$2:A$200,"&lt;&gt;Open")</f>
        <v>1</v>
      </c>
      <c r="J18" s="5">
        <f>COUNTIFS(Estimating!M$2:M$200,H18,Estimating!A$2:A$200,"Awarded")</f>
        <v>0</v>
      </c>
      <c r="K18" s="6">
        <f t="shared" si="1"/>
        <v>0</v>
      </c>
    </row>
    <row r="19" spans="2:12" x14ac:dyDescent="0.25">
      <c r="B19" s="1" t="s">
        <v>27</v>
      </c>
      <c r="C19" s="2">
        <f>COUNTIFS(Estimating!C$2:C$200,B19,Estimating!A$2:A$200,"&lt;&gt;Open")</f>
        <v>10</v>
      </c>
      <c r="D19" s="2">
        <f>COUNTIFS(Estimating!C$2:C$200,B19,Estimating!A$2:A$200,"Awarded")</f>
        <v>2</v>
      </c>
      <c r="E19" s="3">
        <f t="shared" si="0"/>
        <v>0.2</v>
      </c>
      <c r="H19" s="1" t="s">
        <v>28</v>
      </c>
      <c r="I19" s="2">
        <f>COUNTIFS(Estimating!M$2:M$200,H19,Estimating!A$2:A$200,"&lt;&gt;Open")</f>
        <v>1</v>
      </c>
      <c r="J19" s="2">
        <f>COUNTIFS(Estimating!M$2:M$200,H19,Estimating!A$2:A$200,"Awarded")</f>
        <v>0</v>
      </c>
      <c r="K19" s="3">
        <f t="shared" si="1"/>
        <v>0</v>
      </c>
    </row>
    <row r="20" spans="2:12" x14ac:dyDescent="0.25">
      <c r="B20" s="4" t="s">
        <v>29</v>
      </c>
      <c r="C20" s="5">
        <f>COUNTIFS(Estimating!C$2:C$200,B20,Estimating!A$2:A$200,"&lt;&gt;Open")</f>
        <v>1</v>
      </c>
      <c r="D20" s="5">
        <f>COUNTIFS(Estimating!C$2:C$200,B20,Estimating!A$2:A$200,"Awarded")</f>
        <v>0</v>
      </c>
      <c r="E20" s="6">
        <f t="shared" si="0"/>
        <v>0</v>
      </c>
    </row>
    <row r="21" spans="2:12" x14ac:dyDescent="0.25">
      <c r="B21" s="1" t="s">
        <v>30</v>
      </c>
      <c r="C21" s="2">
        <f>COUNTIFS(Estimating!C$2:C$200,B21,Estimating!A$2:A$200,"&lt;&gt;Open")</f>
        <v>7</v>
      </c>
      <c r="D21" s="2">
        <f>COUNTIFS(Estimating!C$2:C$200,B21,Estimating!A$2:A$200,"Awarded")</f>
        <v>0</v>
      </c>
      <c r="E21" s="3">
        <f t="shared" si="0"/>
        <v>0</v>
      </c>
    </row>
    <row r="22" spans="2:12" x14ac:dyDescent="0.25">
      <c r="B22" s="4" t="s">
        <v>31</v>
      </c>
      <c r="C22" s="5">
        <f>COUNTIFS(Estimating!C$2:C$200,B22,Estimating!A$2:A$200,"&lt;&gt;Open")</f>
        <v>3</v>
      </c>
      <c r="D22" s="5">
        <f>COUNTIFS(Estimating!C$2:C$200,B22,Estimating!A$2:A$200,"Awarded")</f>
        <v>0</v>
      </c>
      <c r="E22" s="6">
        <f t="shared" si="0"/>
        <v>0</v>
      </c>
    </row>
    <row r="23" spans="2:12" x14ac:dyDescent="0.25">
      <c r="B23" s="1" t="s">
        <v>32</v>
      </c>
      <c r="C23" s="2">
        <f>COUNTIFS(Estimating!C$2:C$200,B23,Estimating!A$2:A$200,"&lt;&gt;Open")</f>
        <v>2</v>
      </c>
      <c r="D23" s="2">
        <f>COUNTIFS(Estimating!C$2:C$200,B23,Estimating!A$2:A$200,"Awarded")</f>
        <v>0</v>
      </c>
      <c r="E23" s="3">
        <f t="shared" si="0"/>
        <v>0</v>
      </c>
    </row>
    <row r="26" spans="2:12" ht="21.75" customHeight="1" x14ac:dyDescent="0.25">
      <c r="B26" s="23" t="s">
        <v>646</v>
      </c>
      <c r="C26" s="24"/>
      <c r="D26" s="24"/>
      <c r="E26" s="24"/>
      <c r="H26" s="23" t="s">
        <v>643</v>
      </c>
      <c r="I26" s="24"/>
      <c r="J26" s="24"/>
      <c r="K26" s="24"/>
      <c r="L26" s="24"/>
    </row>
    <row r="27" spans="2:12" ht="19.5" customHeight="1" x14ac:dyDescent="0.25">
      <c r="B27" s="18" t="s">
        <v>33</v>
      </c>
      <c r="C27" s="18" t="s">
        <v>8</v>
      </c>
      <c r="D27" s="18" t="s">
        <v>2</v>
      </c>
      <c r="E27" s="18" t="s">
        <v>9</v>
      </c>
      <c r="H27" s="18" t="s">
        <v>34</v>
      </c>
      <c r="I27" s="18" t="s">
        <v>8</v>
      </c>
      <c r="J27" s="18" t="s">
        <v>2</v>
      </c>
      <c r="K27" s="18" t="s">
        <v>9</v>
      </c>
    </row>
    <row r="28" spans="2:12" x14ac:dyDescent="0.25">
      <c r="B28" s="1" t="s">
        <v>35</v>
      </c>
      <c r="C28" s="2">
        <f>COUNTIFS(Estimating!B$2:B$200,B28,Estimating!A$2:A$200,"&lt;&gt;Open")</f>
        <v>51</v>
      </c>
      <c r="D28" s="2">
        <f>COUNTIFS(Estimating!B$2:B$200,B28,Estimating!A$2:A$200,"Awarded")</f>
        <v>12</v>
      </c>
      <c r="E28" s="3">
        <f>IFERROR(D28/C28,"-")</f>
        <v>0.23529411764705882</v>
      </c>
      <c r="H28" s="1" t="s">
        <v>36</v>
      </c>
      <c r="I28" s="2">
        <f>COUNTIFS(Estimating!D$2:D$200,1,Estimating!A$2:A$200,"&lt;&gt;Open")</f>
        <v>7</v>
      </c>
      <c r="J28" s="2">
        <f>COUNTIFS(Estimating!D$2:D$200,1,Estimating!A$2:A$200,"Awarded")</f>
        <v>1</v>
      </c>
      <c r="K28" s="3">
        <f t="shared" ref="K28:K39" si="2">IFERROR(J28/I28,"-")</f>
        <v>0.14285714285714285</v>
      </c>
    </row>
    <row r="29" spans="2:12" x14ac:dyDescent="0.25">
      <c r="B29" s="4" t="s">
        <v>37</v>
      </c>
      <c r="C29" s="5">
        <f>COUNTIFS(Estimating!B$2:B$200,B29,Estimating!A$2:A$200,"&lt;&gt;Open")</f>
        <v>38</v>
      </c>
      <c r="D29" s="5">
        <f>COUNTIFS(Estimating!B$2:B$200,B29,Estimating!A$2:A$200,"Awarded")</f>
        <v>7</v>
      </c>
      <c r="E29" s="6">
        <f>IFERROR(D29/C29,"-")</f>
        <v>0.18421052631578946</v>
      </c>
      <c r="H29" s="4" t="s">
        <v>38</v>
      </c>
      <c r="I29" s="5">
        <f>COUNTIFS(Estimating!D$2:D$200,2,Estimating!A$2:A$200,"&lt;&gt;Open")</f>
        <v>12</v>
      </c>
      <c r="J29" s="5">
        <f>COUNTIFS(Estimating!D$2:D$200,2,Estimating!A$2:A$200,"Awarded")</f>
        <v>6</v>
      </c>
      <c r="K29" s="6">
        <f t="shared" si="2"/>
        <v>0.5</v>
      </c>
    </row>
    <row r="30" spans="2:12" x14ac:dyDescent="0.25">
      <c r="B30" s="1" t="s">
        <v>39</v>
      </c>
      <c r="C30" s="2">
        <f>COUNTIFS(Estimating!B$2:B$200,B30,Estimating!A$2:A$200,"&lt;&gt;Open")</f>
        <v>3</v>
      </c>
      <c r="D30" s="2">
        <f>COUNTIFS(Estimating!B$2:B$200,B30,Estimating!A$2:A$200,"Awarded")</f>
        <v>0</v>
      </c>
      <c r="E30" s="3">
        <f>IFERROR(D30/C30,"-")</f>
        <v>0</v>
      </c>
      <c r="H30" s="1" t="s">
        <v>40</v>
      </c>
      <c r="I30" s="2">
        <f>COUNTIFS(Estimating!D$2:D$200,3,Estimating!A$2:A$200,"&lt;&gt;Open")</f>
        <v>4</v>
      </c>
      <c r="J30" s="2">
        <f>COUNTIFS(Estimating!D$2:D$200,3,Estimating!A$2:A$200,"Awarded")</f>
        <v>0</v>
      </c>
      <c r="K30" s="3">
        <f t="shared" si="2"/>
        <v>0</v>
      </c>
    </row>
    <row r="31" spans="2:12" x14ac:dyDescent="0.25">
      <c r="B31" s="4" t="s">
        <v>41</v>
      </c>
      <c r="C31" s="5">
        <f>COUNTIFS(Estimating!B$2:B$200,B31,Estimating!A$2:A$200,"&lt;&gt;Open")</f>
        <v>3</v>
      </c>
      <c r="D31" s="5">
        <f>COUNTIFS(Estimating!B$2:B$200,B31,Estimating!A$2:A$200,"Awarded")</f>
        <v>0</v>
      </c>
      <c r="E31" s="6">
        <f>IFERROR(D31/C31,"-")</f>
        <v>0</v>
      </c>
      <c r="H31" s="4" t="s">
        <v>42</v>
      </c>
      <c r="I31" s="5">
        <f>COUNTIFS(Estimating!D$2:D$200,4,Estimating!A$2:A$200,"&lt;&gt;Open")</f>
        <v>14</v>
      </c>
      <c r="J31" s="5">
        <f>COUNTIFS(Estimating!D$2:D$200,4,Estimating!A$2:A$200,"Awarded")</f>
        <v>2</v>
      </c>
      <c r="K31" s="6">
        <f t="shared" si="2"/>
        <v>0.14285714285714285</v>
      </c>
    </row>
    <row r="32" spans="2:12" x14ac:dyDescent="0.25">
      <c r="H32" s="1" t="s">
        <v>43</v>
      </c>
      <c r="I32" s="2">
        <f>COUNTIFS(Estimating!D$2:D$200,5,Estimating!A$2:A$200,"&lt;&gt;Open")</f>
        <v>11</v>
      </c>
      <c r="J32" s="2">
        <f>COUNTIFS(Estimating!D$2:D$200,5,Estimating!A$2:A$200,"Awarded")</f>
        <v>2</v>
      </c>
      <c r="K32" s="3">
        <f t="shared" si="2"/>
        <v>0.18181818181818182</v>
      </c>
    </row>
    <row r="33" spans="2:12" x14ac:dyDescent="0.25">
      <c r="H33" s="4" t="s">
        <v>44</v>
      </c>
      <c r="I33" s="5">
        <f>COUNTIFS(Estimating!D$2:D$200,6,Estimating!A$2:A$200,"&lt;&gt;Open")</f>
        <v>6</v>
      </c>
      <c r="J33" s="5">
        <f>COUNTIFS(Estimating!D$2:D$200,6,Estimating!A$2:A$200,"Awarded")</f>
        <v>2</v>
      </c>
      <c r="K33" s="6">
        <f t="shared" si="2"/>
        <v>0.33333333333333331</v>
      </c>
    </row>
    <row r="34" spans="2:12" x14ac:dyDescent="0.25">
      <c r="H34" s="1" t="s">
        <v>45</v>
      </c>
      <c r="I34" s="2">
        <f>COUNTIFS(Estimating!D$2:D$200,7,Estimating!A$2:A$200,"&lt;&gt;Open")</f>
        <v>9</v>
      </c>
      <c r="J34" s="2">
        <f>COUNTIFS(Estimating!D$2:D$200,7,Estimating!A$2:A$200,"Awarded")</f>
        <v>0</v>
      </c>
      <c r="K34" s="3">
        <f t="shared" si="2"/>
        <v>0</v>
      </c>
    </row>
    <row r="35" spans="2:12" x14ac:dyDescent="0.25">
      <c r="H35" s="4" t="s">
        <v>46</v>
      </c>
      <c r="I35" s="5">
        <f>COUNTIFS(Estimating!D$2:D$200,8,Estimating!A$2:A$200,"&lt;&gt;Open")</f>
        <v>5</v>
      </c>
      <c r="J35" s="5">
        <f>COUNTIFS(Estimating!D$2:D$200,8,Estimating!A$2:A$200,"Awarded")</f>
        <v>1</v>
      </c>
      <c r="K35" s="6">
        <f t="shared" si="2"/>
        <v>0.2</v>
      </c>
    </row>
    <row r="36" spans="2:12" x14ac:dyDescent="0.25">
      <c r="H36" s="1" t="s">
        <v>47</v>
      </c>
      <c r="I36" s="2">
        <f>COUNTIFS(Estimating!D$2:D$200,9,Estimating!A$2:A$200,"&lt;&gt;Open")</f>
        <v>6</v>
      </c>
      <c r="J36" s="2">
        <f>COUNTIFS(Estimating!D$2:D$200,9,Estimating!A$2:A$200,"Awarded")</f>
        <v>1</v>
      </c>
      <c r="K36" s="3">
        <f t="shared" si="2"/>
        <v>0.16666666666666666</v>
      </c>
    </row>
    <row r="37" spans="2:12" x14ac:dyDescent="0.25">
      <c r="H37" s="4" t="s">
        <v>48</v>
      </c>
      <c r="I37" s="5">
        <f>COUNTIFS(Estimating!D$2:D$200,10,Estimating!A$2:A$200,"&lt;&gt;Open")</f>
        <v>5</v>
      </c>
      <c r="J37" s="5">
        <f>COUNTIFS(Estimating!D$2:D$200,10,Estimating!A$2:A$200,"Awarded")</f>
        <v>0</v>
      </c>
      <c r="K37" s="6">
        <f t="shared" si="2"/>
        <v>0</v>
      </c>
    </row>
    <row r="38" spans="2:12" x14ac:dyDescent="0.25">
      <c r="H38" s="1" t="s">
        <v>49</v>
      </c>
      <c r="I38" s="2">
        <f>COUNTIFS(Estimating!D$2:D$200,11,Estimating!A$2:A$200,"&lt;&gt;Open")</f>
        <v>8</v>
      </c>
      <c r="J38" s="2">
        <f>COUNTIFS(Estimating!D$2:D$200,11,Estimating!A$2:A$200,"Awarded")</f>
        <v>2</v>
      </c>
      <c r="K38" s="3">
        <f t="shared" si="2"/>
        <v>0.25</v>
      </c>
    </row>
    <row r="39" spans="2:12" x14ac:dyDescent="0.25">
      <c r="H39" s="4" t="s">
        <v>50</v>
      </c>
      <c r="I39" s="5">
        <f>COUNTIFS(Estimating!D$2:D$200,12,Estimating!A$2:A$200,"&lt;&gt;Open")</f>
        <v>8</v>
      </c>
      <c r="J39" s="5">
        <f>COUNTIFS(Estimating!D$2:D$200,12,Estimating!A$2:A$200,"Awarded")</f>
        <v>2</v>
      </c>
      <c r="K39" s="6">
        <f t="shared" si="2"/>
        <v>0.25</v>
      </c>
    </row>
    <row r="42" spans="2:12" ht="60" customHeight="1" x14ac:dyDescent="0.25">
      <c r="B42" s="21" t="s">
        <v>51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2:12" x14ac:dyDescent="0.25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2:12" x14ac:dyDescent="0.25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2:12" x14ac:dyDescent="0.25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</row>
  </sheetData>
  <mergeCells count="19">
    <mergeCell ref="B2:L3"/>
    <mergeCell ref="B4:L4"/>
    <mergeCell ref="B6:C6"/>
    <mergeCell ref="D6:E6"/>
    <mergeCell ref="F6:G6"/>
    <mergeCell ref="H6:I6"/>
    <mergeCell ref="J6:K6"/>
    <mergeCell ref="L6:M6"/>
    <mergeCell ref="B42:L45"/>
    <mergeCell ref="L7:M7"/>
    <mergeCell ref="B9:G9"/>
    <mergeCell ref="H9:L9"/>
    <mergeCell ref="B26:E26"/>
    <mergeCell ref="H26:L26"/>
    <mergeCell ref="B7:C7"/>
    <mergeCell ref="D7:E7"/>
    <mergeCell ref="F7:G7"/>
    <mergeCell ref="H7:I7"/>
    <mergeCell ref="J7:K7"/>
  </mergeCells>
  <conditionalFormatting sqref="E11:E23">
    <cfRule type="colorScale" priority="2">
      <colorScale>
        <cfvo type="num" val="0"/>
        <cfvo type="num" val="0.25"/>
        <cfvo type="num" val="0.5"/>
        <color rgb="FFFCE4D6"/>
        <color rgb="FFFFEB9C"/>
        <color rgb="FFC6EFCE"/>
      </colorScale>
    </cfRule>
  </conditionalFormatting>
  <conditionalFormatting sqref="E28:E31">
    <cfRule type="colorScale" priority="4">
      <colorScale>
        <cfvo type="num" val="0"/>
        <cfvo type="num" val="0.3"/>
        <cfvo type="num" val="0.6"/>
        <color rgb="FFFCE4D6"/>
        <color rgb="FFFFEB9C"/>
        <color rgb="FFC6EFCE"/>
      </colorScale>
    </cfRule>
  </conditionalFormatting>
  <conditionalFormatting sqref="K11:K19">
    <cfRule type="colorScale" priority="3">
      <colorScale>
        <cfvo type="num" val="0"/>
        <cfvo type="num" val="0.25"/>
        <cfvo type="num" val="0.5"/>
        <color rgb="FFFCE4D6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5"/>
  <sheetViews>
    <sheetView zoomScaleNormal="100" workbookViewId="0">
      <pane ySplit="1" topLeftCell="A27" activePane="bottomLeft" state="frozen"/>
      <selection pane="bottomLeft" activeCell="AW6" sqref="AW6"/>
    </sheetView>
  </sheetViews>
  <sheetFormatPr defaultColWidth="8.7109375" defaultRowHeight="15" x14ac:dyDescent="0.25"/>
  <cols>
    <col min="1" max="1" width="10.7109375" customWidth="1"/>
    <col min="2" max="2" width="23.7109375" customWidth="1"/>
    <col min="3" max="3" width="22.7109375" customWidth="1"/>
    <col min="4" max="4" width="9.7109375" customWidth="1"/>
    <col min="5" max="5" width="10.7109375" customWidth="1"/>
    <col min="6" max="6" width="9.140625" customWidth="1"/>
    <col min="7" max="7" width="35.7109375" customWidth="1"/>
    <col min="8" max="8" width="11.7109375" customWidth="1"/>
    <col min="9" max="9" width="12.7109375" customWidth="1"/>
    <col min="10" max="10" width="14" customWidth="1"/>
    <col min="11" max="11" width="15.7109375" customWidth="1"/>
    <col min="12" max="12" width="10.7109375" customWidth="1"/>
    <col min="13" max="13" width="12.7109375" customWidth="1"/>
    <col min="14" max="14" width="14.7109375" customWidth="1"/>
    <col min="15" max="15" width="12.7109375" customWidth="1"/>
    <col min="16" max="16" width="14.7109375" customWidth="1"/>
    <col min="17" max="17" width="25.7109375" customWidth="1"/>
    <col min="18" max="18" width="13.7109375" customWidth="1"/>
    <col min="19" max="19" width="15.7109375" customWidth="1"/>
    <col min="20" max="20" width="17.7109375" customWidth="1"/>
    <col min="21" max="21" width="14" customWidth="1"/>
    <col min="22" max="22" width="10.7109375" customWidth="1"/>
    <col min="23" max="23" width="14" customWidth="1"/>
    <col min="24" max="24" width="11.7109375" customWidth="1"/>
    <col min="25" max="25" width="16.7109375" customWidth="1"/>
    <col min="26" max="26" width="15.7109375" customWidth="1"/>
    <col min="27" max="28" width="14" customWidth="1"/>
    <col min="29" max="29" width="20.7109375" customWidth="1"/>
    <col min="30" max="30" width="9.140625" customWidth="1"/>
    <col min="31" max="31" width="10.7109375" customWidth="1"/>
    <col min="32" max="32" width="15.7109375" customWidth="1"/>
    <col min="33" max="33" width="14" customWidth="1"/>
    <col min="34" max="34" width="20.7109375" customWidth="1"/>
    <col min="35" max="35" width="12.7109375" customWidth="1"/>
    <col min="36" max="36" width="13.7109375" customWidth="1"/>
    <col min="37" max="37" width="16.5703125" bestFit="1" customWidth="1"/>
    <col min="38" max="40" width="14" customWidth="1"/>
    <col min="41" max="48" width="18" customWidth="1"/>
  </cols>
  <sheetData>
    <row r="1" spans="1:48" ht="36" customHeight="1" x14ac:dyDescent="0.25">
      <c r="A1" s="19" t="s">
        <v>52</v>
      </c>
      <c r="B1" s="19" t="s">
        <v>33</v>
      </c>
      <c r="C1" s="19" t="s">
        <v>7</v>
      </c>
      <c r="D1" s="19" t="s">
        <v>34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10</v>
      </c>
      <c r="N1" s="19" t="s">
        <v>61</v>
      </c>
      <c r="O1" s="19" t="s">
        <v>62</v>
      </c>
      <c r="P1" s="19" t="s">
        <v>63</v>
      </c>
      <c r="Q1" s="19" t="s">
        <v>64</v>
      </c>
      <c r="R1" s="19" t="s">
        <v>65</v>
      </c>
      <c r="S1" s="19" t="s">
        <v>66</v>
      </c>
      <c r="T1" s="19" t="s">
        <v>67</v>
      </c>
      <c r="U1" s="19" t="s">
        <v>68</v>
      </c>
      <c r="V1" s="19" t="s">
        <v>69</v>
      </c>
      <c r="W1" s="19" t="s">
        <v>70</v>
      </c>
      <c r="X1" s="19" t="s">
        <v>71</v>
      </c>
      <c r="Y1" s="19" t="s">
        <v>72</v>
      </c>
      <c r="Z1" s="19" t="s">
        <v>73</v>
      </c>
      <c r="AA1" s="19" t="s">
        <v>74</v>
      </c>
      <c r="AB1" s="19" t="s">
        <v>75</v>
      </c>
      <c r="AC1" s="19" t="s">
        <v>76</v>
      </c>
      <c r="AD1" s="19" t="s">
        <v>77</v>
      </c>
      <c r="AE1" s="19" t="s">
        <v>78</v>
      </c>
      <c r="AF1" s="19" t="s">
        <v>79</v>
      </c>
      <c r="AG1" s="19" t="s">
        <v>80</v>
      </c>
      <c r="AH1" s="19" t="s">
        <v>81</v>
      </c>
      <c r="AI1" s="19" t="s">
        <v>82</v>
      </c>
      <c r="AJ1" s="19" t="s">
        <v>83</v>
      </c>
      <c r="AK1" s="19" t="s">
        <v>84</v>
      </c>
      <c r="AL1" s="19" t="s">
        <v>85</v>
      </c>
      <c r="AM1" s="19" t="s">
        <v>86</v>
      </c>
      <c r="AN1" s="19" t="s">
        <v>87</v>
      </c>
      <c r="AO1" s="17" t="s">
        <v>88</v>
      </c>
      <c r="AP1" s="17" t="s">
        <v>89</v>
      </c>
      <c r="AQ1" s="17" t="s">
        <v>90</v>
      </c>
      <c r="AR1" s="17" t="s">
        <v>91</v>
      </c>
      <c r="AS1" s="17" t="s">
        <v>92</v>
      </c>
      <c r="AT1" s="17" t="s">
        <v>93</v>
      </c>
      <c r="AU1" s="17" t="s">
        <v>94</v>
      </c>
      <c r="AV1" s="17" t="s">
        <v>95</v>
      </c>
    </row>
    <row r="2" spans="1:48" ht="72" x14ac:dyDescent="0.25">
      <c r="A2" s="8" t="s">
        <v>2</v>
      </c>
      <c r="B2" s="8" t="s">
        <v>37</v>
      </c>
      <c r="C2" s="8" t="s">
        <v>17</v>
      </c>
      <c r="D2" s="8">
        <v>6</v>
      </c>
      <c r="E2" s="8" t="s">
        <v>96</v>
      </c>
      <c r="F2" s="8" t="s">
        <v>97</v>
      </c>
      <c r="G2" s="8" t="s">
        <v>98</v>
      </c>
      <c r="H2" s="8" t="s">
        <v>99</v>
      </c>
      <c r="I2" s="8" t="s">
        <v>100</v>
      </c>
      <c r="J2" s="8">
        <v>1597000</v>
      </c>
      <c r="K2" s="8" t="s">
        <v>101</v>
      </c>
      <c r="L2" s="8" t="s">
        <v>102</v>
      </c>
      <c r="M2" s="8" t="s">
        <v>22</v>
      </c>
      <c r="N2" s="8">
        <v>1800550</v>
      </c>
      <c r="O2" s="8">
        <v>140911</v>
      </c>
      <c r="P2" s="8">
        <v>9682</v>
      </c>
      <c r="Q2" s="8"/>
      <c r="R2" s="8">
        <v>1525</v>
      </c>
      <c r="S2" s="8">
        <v>71670</v>
      </c>
      <c r="T2" s="8">
        <v>6362</v>
      </c>
      <c r="U2" s="8"/>
      <c r="V2" s="8">
        <v>2440</v>
      </c>
      <c r="W2" s="8">
        <v>8802</v>
      </c>
      <c r="X2" s="8">
        <v>144763</v>
      </c>
      <c r="Y2" s="8">
        <v>14</v>
      </c>
      <c r="Z2" s="8">
        <v>183489</v>
      </c>
      <c r="AA2" s="8">
        <v>1680</v>
      </c>
      <c r="AB2" s="8">
        <v>320044</v>
      </c>
      <c r="AC2" s="8" t="s">
        <v>103</v>
      </c>
      <c r="AD2" s="9" t="s">
        <v>104</v>
      </c>
      <c r="AE2" s="8">
        <v>4834.75</v>
      </c>
      <c r="AF2" s="8">
        <v>1658050</v>
      </c>
      <c r="AG2" s="8">
        <v>152500</v>
      </c>
      <c r="AH2" s="8">
        <v>1810550</v>
      </c>
      <c r="AI2" s="8" t="s">
        <v>105</v>
      </c>
      <c r="AJ2" s="8" t="s">
        <v>106</v>
      </c>
      <c r="AK2" s="10">
        <v>45139</v>
      </c>
      <c r="AL2" s="8"/>
      <c r="AM2" s="8">
        <v>0</v>
      </c>
      <c r="AN2" s="8">
        <v>156372</v>
      </c>
      <c r="AO2" s="20" t="s">
        <v>642</v>
      </c>
      <c r="AP2" s="20"/>
      <c r="AQ2" s="20"/>
      <c r="AR2" s="20"/>
      <c r="AS2" s="20"/>
      <c r="AT2" s="20"/>
      <c r="AU2" s="20"/>
      <c r="AV2" s="11">
        <f t="shared" ref="AV2:AV33" si="0">IF(A2="Awarded",IFERROR((N2-J2)/J2,"-"),"-")</f>
        <v>0.12745773324984347</v>
      </c>
    </row>
    <row r="3" spans="1:48" ht="48" x14ac:dyDescent="0.25">
      <c r="A3" s="8" t="s">
        <v>2</v>
      </c>
      <c r="B3" s="8" t="s">
        <v>37</v>
      </c>
      <c r="C3" s="8" t="s">
        <v>23</v>
      </c>
      <c r="D3" s="8">
        <v>6</v>
      </c>
      <c r="E3" s="8" t="s">
        <v>107</v>
      </c>
      <c r="F3" s="8" t="s">
        <v>108</v>
      </c>
      <c r="G3" s="8" t="s">
        <v>109</v>
      </c>
      <c r="H3" s="8" t="s">
        <v>110</v>
      </c>
      <c r="I3" s="8" t="s">
        <v>111</v>
      </c>
      <c r="J3" s="8">
        <v>3147964</v>
      </c>
      <c r="K3" s="8" t="s">
        <v>112</v>
      </c>
      <c r="L3" s="8" t="s">
        <v>102</v>
      </c>
      <c r="M3" s="8" t="s">
        <v>24</v>
      </c>
      <c r="N3" s="8">
        <v>3155940</v>
      </c>
      <c r="O3" s="8">
        <v>331190</v>
      </c>
      <c r="P3" s="8">
        <v>15518</v>
      </c>
      <c r="Q3" s="8"/>
      <c r="R3" s="8">
        <v>4413</v>
      </c>
      <c r="S3" s="8">
        <v>73800</v>
      </c>
      <c r="T3" s="8">
        <v>12491</v>
      </c>
      <c r="U3" s="8"/>
      <c r="V3" s="8">
        <v>3027</v>
      </c>
      <c r="W3" s="8">
        <v>15518</v>
      </c>
      <c r="X3" s="8">
        <v>331934</v>
      </c>
      <c r="Y3" s="8">
        <v>32</v>
      </c>
      <c r="Z3" s="8">
        <v>352947</v>
      </c>
      <c r="AA3" s="8">
        <v>3072</v>
      </c>
      <c r="AB3" s="8">
        <v>556823</v>
      </c>
      <c r="AC3" s="8" t="s">
        <v>113</v>
      </c>
      <c r="AD3" s="9" t="s">
        <v>114</v>
      </c>
      <c r="AE3" s="8">
        <v>424.5</v>
      </c>
      <c r="AF3" s="8">
        <v>3131076</v>
      </c>
      <c r="AG3" s="8">
        <v>195070</v>
      </c>
      <c r="AH3" s="8">
        <v>3326146</v>
      </c>
      <c r="AI3" s="8" t="s">
        <v>115</v>
      </c>
      <c r="AJ3" s="8" t="s">
        <v>106</v>
      </c>
      <c r="AK3" s="10">
        <v>45689</v>
      </c>
      <c r="AL3" s="8"/>
      <c r="AM3" s="8">
        <v>0</v>
      </c>
      <c r="AN3" s="8"/>
      <c r="AO3" s="20"/>
      <c r="AP3" s="20"/>
      <c r="AQ3" s="20"/>
      <c r="AR3" s="20"/>
      <c r="AS3" s="20"/>
      <c r="AT3" s="20"/>
      <c r="AU3" s="20"/>
      <c r="AV3" s="11">
        <f t="shared" si="0"/>
        <v>2.5337011477894918E-3</v>
      </c>
    </row>
    <row r="4" spans="1:48" ht="60" x14ac:dyDescent="0.25">
      <c r="A4" s="8" t="s">
        <v>2</v>
      </c>
      <c r="B4" s="8" t="s">
        <v>35</v>
      </c>
      <c r="C4" s="8" t="s">
        <v>23</v>
      </c>
      <c r="D4" s="8">
        <v>11</v>
      </c>
      <c r="E4" s="8" t="s">
        <v>116</v>
      </c>
      <c r="F4" s="8" t="s">
        <v>117</v>
      </c>
      <c r="G4" s="8" t="s">
        <v>118</v>
      </c>
      <c r="H4" s="8" t="s">
        <v>119</v>
      </c>
      <c r="I4" s="8" t="s">
        <v>111</v>
      </c>
      <c r="J4" s="8">
        <v>163000</v>
      </c>
      <c r="K4" s="8" t="s">
        <v>120</v>
      </c>
      <c r="L4" s="8" t="s">
        <v>102</v>
      </c>
      <c r="M4" s="8" t="s">
        <v>22</v>
      </c>
      <c r="N4" s="8">
        <v>160800</v>
      </c>
      <c r="O4" s="8">
        <v>23000</v>
      </c>
      <c r="P4" s="8">
        <v>942</v>
      </c>
      <c r="Q4" s="8"/>
      <c r="R4" s="8">
        <v>103</v>
      </c>
      <c r="S4" s="8">
        <v>2716</v>
      </c>
      <c r="T4" s="8">
        <v>610</v>
      </c>
      <c r="U4" s="8"/>
      <c r="V4" s="8">
        <v>368</v>
      </c>
      <c r="W4" s="8">
        <v>978</v>
      </c>
      <c r="X4" s="8">
        <v>23450</v>
      </c>
      <c r="Y4" s="8">
        <v>4</v>
      </c>
      <c r="Z4" s="8">
        <v>30319</v>
      </c>
      <c r="AA4" s="8">
        <v>264</v>
      </c>
      <c r="AB4" s="8">
        <v>35236</v>
      </c>
      <c r="AC4" s="8" t="s">
        <v>121</v>
      </c>
      <c r="AD4" s="9" t="s">
        <v>122</v>
      </c>
      <c r="AE4" s="8">
        <v>882</v>
      </c>
      <c r="AF4" s="8">
        <v>147726</v>
      </c>
      <c r="AG4" s="8">
        <v>24019</v>
      </c>
      <c r="AH4" s="8">
        <v>171745</v>
      </c>
      <c r="AI4" s="8" t="s">
        <v>123</v>
      </c>
      <c r="AJ4" s="8" t="s">
        <v>106</v>
      </c>
      <c r="AK4" s="10">
        <v>45717</v>
      </c>
      <c r="AL4" s="8"/>
      <c r="AM4" s="8">
        <v>0</v>
      </c>
      <c r="AN4" s="8"/>
      <c r="AO4" s="20"/>
      <c r="AP4" s="20"/>
      <c r="AQ4" s="20"/>
      <c r="AR4" s="20"/>
      <c r="AS4" s="20"/>
      <c r="AT4" s="20"/>
      <c r="AU4" s="20"/>
      <c r="AV4" s="11">
        <f t="shared" si="0"/>
        <v>-1.3496932515337423E-2</v>
      </c>
    </row>
    <row r="5" spans="1:48" ht="36" x14ac:dyDescent="0.25">
      <c r="A5" s="8" t="s">
        <v>2</v>
      </c>
      <c r="B5" s="8" t="s">
        <v>37</v>
      </c>
      <c r="C5" s="8" t="s">
        <v>27</v>
      </c>
      <c r="D5" s="8">
        <v>11</v>
      </c>
      <c r="E5" s="8" t="s">
        <v>124</v>
      </c>
      <c r="F5" s="8" t="s">
        <v>125</v>
      </c>
      <c r="G5" s="8" t="s">
        <v>126</v>
      </c>
      <c r="H5" s="8" t="s">
        <v>127</v>
      </c>
      <c r="I5" s="8" t="s">
        <v>111</v>
      </c>
      <c r="J5" s="8">
        <v>1970500</v>
      </c>
      <c r="K5" s="8" t="s">
        <v>128</v>
      </c>
      <c r="L5" s="8" t="s">
        <v>102</v>
      </c>
      <c r="M5" s="8" t="s">
        <v>18</v>
      </c>
      <c r="N5" s="8">
        <v>1970500</v>
      </c>
      <c r="O5" s="8">
        <v>178822</v>
      </c>
      <c r="P5" s="8">
        <v>10020</v>
      </c>
      <c r="Q5" s="8" t="s">
        <v>129</v>
      </c>
      <c r="R5" s="8">
        <v>2974</v>
      </c>
      <c r="S5" s="8">
        <v>27945</v>
      </c>
      <c r="T5" s="8">
        <v>7460</v>
      </c>
      <c r="U5" s="8"/>
      <c r="V5" s="8">
        <v>2560</v>
      </c>
      <c r="W5" s="8">
        <v>10020</v>
      </c>
      <c r="X5" s="8">
        <v>178822</v>
      </c>
      <c r="Y5" s="8">
        <v>16</v>
      </c>
      <c r="Z5" s="8">
        <v>202932</v>
      </c>
      <c r="AA5" s="8">
        <v>1760</v>
      </c>
      <c r="AB5" s="8">
        <v>255082</v>
      </c>
      <c r="AC5" s="8" t="s">
        <v>130</v>
      </c>
      <c r="AD5" s="9" t="s">
        <v>131</v>
      </c>
      <c r="AE5" s="8">
        <v>12383</v>
      </c>
      <c r="AF5" s="8">
        <v>2061537</v>
      </c>
      <c r="AG5" s="8">
        <v>53571</v>
      </c>
      <c r="AH5" s="8">
        <v>2115108</v>
      </c>
      <c r="AI5" s="8" t="s">
        <v>132</v>
      </c>
      <c r="AJ5" s="8" t="s">
        <v>106</v>
      </c>
      <c r="AK5" s="10">
        <v>45689</v>
      </c>
      <c r="AL5" s="8"/>
      <c r="AM5" s="8">
        <v>0</v>
      </c>
      <c r="AN5" s="8"/>
      <c r="AO5" s="20"/>
      <c r="AP5" s="20"/>
      <c r="AQ5" s="20"/>
      <c r="AR5" s="20"/>
      <c r="AS5" s="20"/>
      <c r="AT5" s="20"/>
      <c r="AU5" s="20"/>
      <c r="AV5" s="11">
        <f t="shared" si="0"/>
        <v>0</v>
      </c>
    </row>
    <row r="6" spans="1:48" ht="60" x14ac:dyDescent="0.25">
      <c r="A6" s="8" t="s">
        <v>2</v>
      </c>
      <c r="B6" s="8" t="s">
        <v>35</v>
      </c>
      <c r="C6" s="8" t="s">
        <v>23</v>
      </c>
      <c r="D6" s="8">
        <v>12</v>
      </c>
      <c r="E6" s="8" t="s">
        <v>133</v>
      </c>
      <c r="F6" s="8" t="s">
        <v>134</v>
      </c>
      <c r="G6" s="8" t="s">
        <v>135</v>
      </c>
      <c r="H6" s="8" t="s">
        <v>136</v>
      </c>
      <c r="I6" s="8" t="s">
        <v>137</v>
      </c>
      <c r="J6" s="8">
        <v>239000</v>
      </c>
      <c r="K6" s="8" t="s">
        <v>138</v>
      </c>
      <c r="L6" s="8" t="s">
        <v>102</v>
      </c>
      <c r="M6" s="8" t="s">
        <v>14</v>
      </c>
      <c r="N6" s="8">
        <v>239000</v>
      </c>
      <c r="O6" s="8">
        <v>20000</v>
      </c>
      <c r="P6" s="8">
        <v>1357</v>
      </c>
      <c r="Q6" s="8"/>
      <c r="R6" s="8">
        <v>54</v>
      </c>
      <c r="S6" s="8">
        <v>1390</v>
      </c>
      <c r="T6" s="8">
        <v>1095</v>
      </c>
      <c r="U6" s="8"/>
      <c r="V6" s="8">
        <v>262</v>
      </c>
      <c r="W6" s="8">
        <v>1357</v>
      </c>
      <c r="X6" s="8">
        <v>20000</v>
      </c>
      <c r="Y6" s="8">
        <v>4</v>
      </c>
      <c r="Z6" s="8">
        <v>17087</v>
      </c>
      <c r="AA6" s="8">
        <v>0</v>
      </c>
      <c r="AB6" s="8">
        <v>30243</v>
      </c>
      <c r="AC6" s="8" t="s">
        <v>130</v>
      </c>
      <c r="AD6" s="9" t="s">
        <v>139</v>
      </c>
      <c r="AE6" s="8">
        <v>2542</v>
      </c>
      <c r="AF6" s="8">
        <v>346585</v>
      </c>
      <c r="AG6" s="8">
        <v>139045</v>
      </c>
      <c r="AH6" s="8">
        <v>485630</v>
      </c>
      <c r="AI6" s="8" t="s">
        <v>140</v>
      </c>
      <c r="AJ6" s="8" t="s">
        <v>106</v>
      </c>
      <c r="AK6" s="10">
        <v>45809</v>
      </c>
      <c r="AL6" s="8"/>
      <c r="AM6" s="8">
        <v>0</v>
      </c>
      <c r="AN6" s="8"/>
      <c r="AO6" s="20"/>
      <c r="AP6" s="20"/>
      <c r="AQ6" s="20"/>
      <c r="AR6" s="20"/>
      <c r="AS6" s="20"/>
      <c r="AT6" s="20"/>
      <c r="AU6" s="20"/>
      <c r="AV6" s="11">
        <f t="shared" si="0"/>
        <v>0</v>
      </c>
    </row>
    <row r="7" spans="1:48" ht="72" x14ac:dyDescent="0.25">
      <c r="A7" s="8" t="s">
        <v>2</v>
      </c>
      <c r="B7" s="8" t="s">
        <v>35</v>
      </c>
      <c r="C7" s="8" t="s">
        <v>23</v>
      </c>
      <c r="D7" s="8">
        <v>12</v>
      </c>
      <c r="E7" s="8"/>
      <c r="F7" s="8" t="s">
        <v>141</v>
      </c>
      <c r="G7" s="8" t="s">
        <v>142</v>
      </c>
      <c r="H7" s="8" t="s">
        <v>143</v>
      </c>
      <c r="I7" s="8" t="s">
        <v>144</v>
      </c>
      <c r="J7" s="8">
        <v>2897000</v>
      </c>
      <c r="K7" s="8" t="s">
        <v>145</v>
      </c>
      <c r="L7" s="8" t="s">
        <v>102</v>
      </c>
      <c r="M7" s="8" t="s">
        <v>22</v>
      </c>
      <c r="N7" s="8">
        <v>2778900</v>
      </c>
      <c r="O7" s="8">
        <v>189697</v>
      </c>
      <c r="P7" s="8">
        <v>14621</v>
      </c>
      <c r="Q7" s="8"/>
      <c r="R7" s="8">
        <v>4200</v>
      </c>
      <c r="S7" s="8">
        <v>35923</v>
      </c>
      <c r="T7" s="8">
        <v>10468</v>
      </c>
      <c r="U7" s="8"/>
      <c r="V7" s="8">
        <v>5164</v>
      </c>
      <c r="W7" s="8">
        <v>15632</v>
      </c>
      <c r="X7" s="8">
        <v>190423</v>
      </c>
      <c r="Y7" s="8">
        <v>22</v>
      </c>
      <c r="Z7" s="8">
        <v>376158</v>
      </c>
      <c r="AA7" s="8">
        <v>2840</v>
      </c>
      <c r="AB7" s="8">
        <v>505832</v>
      </c>
      <c r="AC7" s="8" t="s">
        <v>146</v>
      </c>
      <c r="AD7" s="9" t="s">
        <v>147</v>
      </c>
      <c r="AE7" s="8"/>
      <c r="AF7" s="8"/>
      <c r="AG7" s="8"/>
      <c r="AH7" s="8"/>
      <c r="AI7" s="8"/>
      <c r="AJ7" s="8"/>
      <c r="AK7" s="8"/>
      <c r="AL7" s="8"/>
      <c r="AM7" s="8">
        <v>0</v>
      </c>
      <c r="AN7" s="8">
        <v>166600</v>
      </c>
      <c r="AO7" s="20"/>
      <c r="AP7" s="20"/>
      <c r="AQ7" s="20"/>
      <c r="AR7" s="20"/>
      <c r="AS7" s="20"/>
      <c r="AT7" s="20"/>
      <c r="AU7" s="20"/>
      <c r="AV7" s="11">
        <f t="shared" si="0"/>
        <v>-4.0766309975837071E-2</v>
      </c>
    </row>
    <row r="8" spans="1:48" ht="36" x14ac:dyDescent="0.25">
      <c r="A8" s="1" t="s">
        <v>106</v>
      </c>
      <c r="B8" s="1" t="s">
        <v>35</v>
      </c>
      <c r="C8" s="1" t="s">
        <v>27</v>
      </c>
      <c r="D8" s="1">
        <v>1</v>
      </c>
      <c r="E8" s="1"/>
      <c r="F8" s="1" t="s">
        <v>148</v>
      </c>
      <c r="G8" s="1" t="s">
        <v>149</v>
      </c>
      <c r="H8" s="1" t="s">
        <v>150</v>
      </c>
      <c r="I8" s="1"/>
      <c r="J8" s="1">
        <v>1680368</v>
      </c>
      <c r="K8" s="1" t="s">
        <v>151</v>
      </c>
      <c r="L8" s="1" t="s">
        <v>102</v>
      </c>
      <c r="M8" s="1" t="s">
        <v>152</v>
      </c>
      <c r="N8" s="1"/>
      <c r="O8" s="1"/>
      <c r="P8" s="1"/>
      <c r="Q8" s="1"/>
      <c r="R8" s="1">
        <v>2375</v>
      </c>
      <c r="S8" s="1"/>
      <c r="T8" s="1">
        <v>6762</v>
      </c>
      <c r="U8" s="1"/>
      <c r="V8" s="1">
        <v>2148</v>
      </c>
      <c r="W8" s="1">
        <v>8910</v>
      </c>
      <c r="X8" s="1">
        <v>149805</v>
      </c>
      <c r="Y8" s="1">
        <v>20</v>
      </c>
      <c r="Z8" s="1">
        <v>217951</v>
      </c>
      <c r="AA8" s="1">
        <v>0</v>
      </c>
      <c r="AB8" s="1">
        <v>267796</v>
      </c>
      <c r="AC8" s="1" t="s">
        <v>153</v>
      </c>
      <c r="AD8" s="12" t="s">
        <v>154</v>
      </c>
      <c r="AE8" s="1"/>
      <c r="AF8" s="1"/>
      <c r="AG8" s="1"/>
      <c r="AH8" s="1"/>
      <c r="AI8" s="1"/>
      <c r="AJ8" s="1"/>
      <c r="AK8" s="1"/>
      <c r="AL8" s="1"/>
      <c r="AM8" s="1">
        <v>0</v>
      </c>
      <c r="AN8" s="1">
        <v>49559</v>
      </c>
      <c r="AO8" s="20"/>
      <c r="AP8" s="20"/>
      <c r="AQ8" s="20"/>
      <c r="AR8" s="20"/>
      <c r="AS8" s="20"/>
      <c r="AT8" s="20"/>
      <c r="AU8" s="20"/>
      <c r="AV8" s="11" t="str">
        <f t="shared" si="0"/>
        <v>-</v>
      </c>
    </row>
    <row r="9" spans="1:48" ht="72" x14ac:dyDescent="0.25">
      <c r="A9" s="4" t="s">
        <v>155</v>
      </c>
      <c r="B9" s="4" t="s">
        <v>35</v>
      </c>
      <c r="C9" s="4" t="s">
        <v>15</v>
      </c>
      <c r="D9" s="4">
        <v>1</v>
      </c>
      <c r="E9" s="4"/>
      <c r="F9" s="4" t="s">
        <v>156</v>
      </c>
      <c r="G9" s="4" t="s">
        <v>157</v>
      </c>
      <c r="H9" s="4" t="s">
        <v>150</v>
      </c>
      <c r="I9" s="4"/>
      <c r="J9" s="4">
        <v>438000</v>
      </c>
      <c r="K9" s="4" t="s">
        <v>151</v>
      </c>
      <c r="L9" s="4" t="s">
        <v>102</v>
      </c>
      <c r="M9" s="4" t="s">
        <v>22</v>
      </c>
      <c r="N9" s="4"/>
      <c r="O9" s="4"/>
      <c r="P9" s="4"/>
      <c r="Q9" s="13" t="s">
        <v>158</v>
      </c>
      <c r="R9" s="4">
        <v>226</v>
      </c>
      <c r="S9" s="4">
        <v>6633</v>
      </c>
      <c r="T9" s="4">
        <v>1216</v>
      </c>
      <c r="U9" s="4"/>
      <c r="V9" s="4">
        <v>1098</v>
      </c>
      <c r="W9" s="4">
        <v>2314</v>
      </c>
      <c r="X9" s="4">
        <v>37851</v>
      </c>
      <c r="Y9" s="4">
        <v>15</v>
      </c>
      <c r="Z9" s="4">
        <v>76877</v>
      </c>
      <c r="AA9" s="4">
        <v>720</v>
      </c>
      <c r="AB9" s="4">
        <v>103226</v>
      </c>
      <c r="AC9" s="4" t="s">
        <v>159</v>
      </c>
      <c r="AD9" s="13" t="s">
        <v>104</v>
      </c>
      <c r="AE9" s="4"/>
      <c r="AF9" s="4"/>
      <c r="AG9" s="4"/>
      <c r="AH9" s="4"/>
      <c r="AI9" s="4"/>
      <c r="AJ9" s="4"/>
      <c r="AK9" s="4"/>
      <c r="AL9" s="4"/>
      <c r="AM9" s="4">
        <v>0</v>
      </c>
      <c r="AN9" s="4">
        <v>70162</v>
      </c>
      <c r="AO9" s="20"/>
      <c r="AP9" s="20"/>
      <c r="AQ9" s="20"/>
      <c r="AR9" s="20"/>
      <c r="AS9" s="20"/>
      <c r="AT9" s="20"/>
      <c r="AU9" s="20"/>
      <c r="AV9" s="11" t="str">
        <f t="shared" si="0"/>
        <v>-</v>
      </c>
    </row>
    <row r="10" spans="1:48" ht="72" x14ac:dyDescent="0.25">
      <c r="A10" s="4" t="s">
        <v>155</v>
      </c>
      <c r="B10" s="4" t="s">
        <v>37</v>
      </c>
      <c r="C10" s="4" t="s">
        <v>23</v>
      </c>
      <c r="D10" s="4">
        <v>1</v>
      </c>
      <c r="E10" s="4"/>
      <c r="F10" s="4" t="s">
        <v>160</v>
      </c>
      <c r="G10" s="4" t="s">
        <v>161</v>
      </c>
      <c r="H10" s="4" t="s">
        <v>162</v>
      </c>
      <c r="I10" s="4"/>
      <c r="J10" s="4">
        <v>93000</v>
      </c>
      <c r="K10" s="4" t="s">
        <v>163</v>
      </c>
      <c r="L10" s="4" t="s">
        <v>102</v>
      </c>
      <c r="M10" s="4" t="s">
        <v>14</v>
      </c>
      <c r="N10" s="4"/>
      <c r="O10" s="4"/>
      <c r="P10" s="4"/>
      <c r="Q10" s="4"/>
      <c r="R10" s="4">
        <v>0</v>
      </c>
      <c r="S10" s="4">
        <v>0</v>
      </c>
      <c r="T10" s="4">
        <v>356</v>
      </c>
      <c r="U10" s="4"/>
      <c r="V10" s="4">
        <v>176</v>
      </c>
      <c r="W10" s="4">
        <v>532</v>
      </c>
      <c r="X10" s="4">
        <v>9000</v>
      </c>
      <c r="Y10" s="4">
        <v>4</v>
      </c>
      <c r="Z10" s="4">
        <v>26800</v>
      </c>
      <c r="AA10" s="4">
        <v>144</v>
      </c>
      <c r="AB10" s="4">
        <v>28061</v>
      </c>
      <c r="AC10" s="4" t="s">
        <v>164</v>
      </c>
      <c r="AD10" s="13" t="s">
        <v>165</v>
      </c>
      <c r="AE10" s="4"/>
      <c r="AF10" s="4"/>
      <c r="AG10" s="4"/>
      <c r="AH10" s="4"/>
      <c r="AI10" s="4"/>
      <c r="AJ10" s="4"/>
      <c r="AK10" s="4"/>
      <c r="AL10" s="4"/>
      <c r="AM10" s="4">
        <v>0</v>
      </c>
      <c r="AN10" s="4">
        <v>2541</v>
      </c>
      <c r="AO10" s="20"/>
      <c r="AP10" s="20"/>
      <c r="AQ10" s="20"/>
      <c r="AR10" s="20"/>
      <c r="AS10" s="20"/>
      <c r="AT10" s="20"/>
      <c r="AU10" s="20"/>
      <c r="AV10" s="11" t="str">
        <f t="shared" si="0"/>
        <v>-</v>
      </c>
    </row>
    <row r="11" spans="1:48" ht="24" x14ac:dyDescent="0.25">
      <c r="A11" s="1" t="s">
        <v>106</v>
      </c>
      <c r="B11" s="1" t="s">
        <v>37</v>
      </c>
      <c r="C11" s="1" t="s">
        <v>23</v>
      </c>
      <c r="D11" s="1">
        <v>1</v>
      </c>
      <c r="E11" s="1"/>
      <c r="F11" s="1" t="s">
        <v>166</v>
      </c>
      <c r="G11" s="1" t="s">
        <v>167</v>
      </c>
      <c r="H11" s="1" t="s">
        <v>168</v>
      </c>
      <c r="I11" s="1"/>
      <c r="J11" s="1">
        <v>1747000</v>
      </c>
      <c r="K11" s="1" t="s">
        <v>169</v>
      </c>
      <c r="L11" s="1" t="s">
        <v>102</v>
      </c>
      <c r="M11" s="1" t="s">
        <v>24</v>
      </c>
      <c r="N11" s="1"/>
      <c r="O11" s="1"/>
      <c r="P11" s="1"/>
      <c r="Q11" s="1"/>
      <c r="R11" s="1">
        <v>3461</v>
      </c>
      <c r="S11" s="1">
        <v>101806</v>
      </c>
      <c r="T11" s="1">
        <v>6267</v>
      </c>
      <c r="U11" s="1"/>
      <c r="V11" s="1">
        <v>1394</v>
      </c>
      <c r="W11" s="1">
        <v>7661</v>
      </c>
      <c r="X11" s="1">
        <v>147151</v>
      </c>
      <c r="Y11" s="1">
        <v>12</v>
      </c>
      <c r="Z11" s="1">
        <v>151738</v>
      </c>
      <c r="AA11" s="1">
        <v>1146</v>
      </c>
      <c r="AB11" s="1">
        <v>218298</v>
      </c>
      <c r="AC11" s="1" t="s">
        <v>170</v>
      </c>
      <c r="AD11" s="12" t="s">
        <v>171</v>
      </c>
      <c r="AE11" s="1"/>
      <c r="AF11" s="1"/>
      <c r="AG11" s="1"/>
      <c r="AH11" s="1"/>
      <c r="AI11" s="1"/>
      <c r="AJ11" s="1"/>
      <c r="AK11" s="1"/>
      <c r="AL11" s="1"/>
      <c r="AM11" s="1">
        <v>0</v>
      </c>
      <c r="AN11" s="1">
        <v>109099</v>
      </c>
      <c r="AO11" s="20"/>
      <c r="AP11" s="20"/>
      <c r="AQ11" s="20"/>
      <c r="AR11" s="20"/>
      <c r="AS11" s="20"/>
      <c r="AT11" s="20"/>
      <c r="AU11" s="20"/>
      <c r="AV11" s="11" t="str">
        <f t="shared" si="0"/>
        <v>-</v>
      </c>
    </row>
    <row r="12" spans="1:48" ht="36" x14ac:dyDescent="0.25">
      <c r="A12" s="1" t="s">
        <v>106</v>
      </c>
      <c r="B12" s="1" t="s">
        <v>37</v>
      </c>
      <c r="C12" s="1" t="s">
        <v>23</v>
      </c>
      <c r="D12" s="1">
        <v>1</v>
      </c>
      <c r="E12" s="1"/>
      <c r="F12" s="1" t="s">
        <v>172</v>
      </c>
      <c r="G12" s="1" t="s">
        <v>173</v>
      </c>
      <c r="H12" s="1" t="s">
        <v>168</v>
      </c>
      <c r="I12" s="1"/>
      <c r="J12" s="1">
        <v>764000</v>
      </c>
      <c r="K12" s="1" t="s">
        <v>169</v>
      </c>
      <c r="L12" s="1" t="s">
        <v>102</v>
      </c>
      <c r="M12" s="1" t="s">
        <v>24</v>
      </c>
      <c r="N12" s="1"/>
      <c r="O12" s="1"/>
      <c r="P12" s="1"/>
      <c r="Q12" s="1"/>
      <c r="R12" s="1">
        <v>1012</v>
      </c>
      <c r="S12" s="1">
        <v>39860</v>
      </c>
      <c r="T12" s="1">
        <v>2948</v>
      </c>
      <c r="U12" s="1"/>
      <c r="V12" s="1">
        <v>1124</v>
      </c>
      <c r="W12" s="1">
        <v>4072</v>
      </c>
      <c r="X12" s="1">
        <v>79128</v>
      </c>
      <c r="Y12" s="1">
        <v>10</v>
      </c>
      <c r="Z12" s="1">
        <v>103541</v>
      </c>
      <c r="AA12" s="1">
        <v>832</v>
      </c>
      <c r="AB12" s="1">
        <v>148906</v>
      </c>
      <c r="AC12" s="1" t="s">
        <v>174</v>
      </c>
      <c r="AD12" s="12" t="s">
        <v>175</v>
      </c>
      <c r="AE12" s="1"/>
      <c r="AF12" s="1"/>
      <c r="AG12" s="1"/>
      <c r="AH12" s="1"/>
      <c r="AI12" s="1"/>
      <c r="AJ12" s="1"/>
      <c r="AK12" s="1"/>
      <c r="AL12" s="1"/>
      <c r="AM12" s="1">
        <v>0</v>
      </c>
      <c r="AN12" s="1">
        <v>42407</v>
      </c>
      <c r="AO12" s="20"/>
      <c r="AP12" s="20"/>
      <c r="AQ12" s="20"/>
      <c r="AR12" s="20"/>
      <c r="AS12" s="20"/>
      <c r="AT12" s="20"/>
      <c r="AU12" s="20"/>
      <c r="AV12" s="11" t="str">
        <f t="shared" si="0"/>
        <v>-</v>
      </c>
    </row>
    <row r="13" spans="1:48" ht="72" x14ac:dyDescent="0.25">
      <c r="A13" s="1" t="s">
        <v>106</v>
      </c>
      <c r="B13" s="1" t="s">
        <v>37</v>
      </c>
      <c r="C13" s="1" t="s">
        <v>27</v>
      </c>
      <c r="D13" s="1">
        <v>1</v>
      </c>
      <c r="E13" s="1"/>
      <c r="F13" s="1" t="s">
        <v>176</v>
      </c>
      <c r="G13" s="1" t="s">
        <v>177</v>
      </c>
      <c r="H13" s="1" t="s">
        <v>168</v>
      </c>
      <c r="I13" s="1"/>
      <c r="J13" s="1">
        <v>6277000</v>
      </c>
      <c r="K13" s="1" t="s">
        <v>178</v>
      </c>
      <c r="L13" s="1" t="s">
        <v>102</v>
      </c>
      <c r="M13" s="1" t="s">
        <v>14</v>
      </c>
      <c r="N13" s="1"/>
      <c r="O13" s="1"/>
      <c r="P13" s="1"/>
      <c r="Q13" s="1"/>
      <c r="R13" s="1">
        <v>14474</v>
      </c>
      <c r="S13" s="1">
        <v>549916</v>
      </c>
      <c r="T13" s="1">
        <v>16748</v>
      </c>
      <c r="U13" s="1"/>
      <c r="V13" s="1">
        <v>3888</v>
      </c>
      <c r="W13" s="1">
        <v>20636</v>
      </c>
      <c r="X13" s="1">
        <v>405000</v>
      </c>
      <c r="Y13" s="1">
        <v>24</v>
      </c>
      <c r="Z13" s="1">
        <v>329192</v>
      </c>
      <c r="AA13" s="1">
        <v>2496</v>
      </c>
      <c r="AB13" s="1">
        <v>561432</v>
      </c>
      <c r="AC13" s="1" t="s">
        <v>179</v>
      </c>
      <c r="AD13" s="12" t="s">
        <v>180</v>
      </c>
      <c r="AE13" s="1"/>
      <c r="AF13" s="1"/>
      <c r="AG13" s="1"/>
      <c r="AH13" s="1"/>
      <c r="AI13" s="1"/>
      <c r="AJ13" s="1"/>
      <c r="AK13" s="1"/>
      <c r="AL13" s="1"/>
      <c r="AM13" s="1">
        <v>0</v>
      </c>
      <c r="AN13" s="1">
        <v>343432</v>
      </c>
      <c r="AO13" s="20"/>
      <c r="AP13" s="20"/>
      <c r="AQ13" s="20"/>
      <c r="AR13" s="20"/>
      <c r="AS13" s="20"/>
      <c r="AT13" s="20"/>
      <c r="AU13" s="20"/>
      <c r="AV13" s="11" t="str">
        <f t="shared" si="0"/>
        <v>-</v>
      </c>
    </row>
    <row r="14" spans="1:48" ht="48" x14ac:dyDescent="0.25">
      <c r="A14" s="1" t="s">
        <v>106</v>
      </c>
      <c r="B14" s="1" t="s">
        <v>37</v>
      </c>
      <c r="C14" s="1" t="s">
        <v>27</v>
      </c>
      <c r="D14" s="1">
        <v>1</v>
      </c>
      <c r="E14" s="1"/>
      <c r="F14" s="1" t="s">
        <v>181</v>
      </c>
      <c r="G14" s="1" t="s">
        <v>182</v>
      </c>
      <c r="H14" s="1" t="s">
        <v>183</v>
      </c>
      <c r="I14" s="1"/>
      <c r="J14" s="1">
        <v>320000</v>
      </c>
      <c r="K14" s="1" t="s">
        <v>112</v>
      </c>
      <c r="L14" s="1" t="s">
        <v>102</v>
      </c>
      <c r="M14" s="1" t="s">
        <v>152</v>
      </c>
      <c r="N14" s="1"/>
      <c r="O14" s="1"/>
      <c r="P14" s="1"/>
      <c r="Q14" s="1"/>
      <c r="R14" s="1">
        <v>330</v>
      </c>
      <c r="S14" s="1"/>
      <c r="T14" s="1">
        <v>1358</v>
      </c>
      <c r="U14" s="1"/>
      <c r="V14" s="1"/>
      <c r="W14" s="1">
        <v>1358</v>
      </c>
      <c r="X14" s="1">
        <v>40341</v>
      </c>
      <c r="Y14" s="1">
        <v>4</v>
      </c>
      <c r="Z14" s="1">
        <v>46604</v>
      </c>
      <c r="AA14" s="1">
        <v>0</v>
      </c>
      <c r="AB14" s="1">
        <v>58051</v>
      </c>
      <c r="AC14" s="1" t="s">
        <v>113</v>
      </c>
      <c r="AD14" s="12" t="s">
        <v>184</v>
      </c>
      <c r="AE14" s="1"/>
      <c r="AF14" s="1"/>
      <c r="AG14" s="1"/>
      <c r="AH14" s="1"/>
      <c r="AI14" s="1"/>
      <c r="AJ14" s="1"/>
      <c r="AK14" s="1"/>
      <c r="AL14" s="1"/>
      <c r="AM14" s="1">
        <v>0</v>
      </c>
      <c r="AN14" s="1">
        <v>42023</v>
      </c>
      <c r="AO14" s="20"/>
      <c r="AP14" s="20"/>
      <c r="AQ14" s="20"/>
      <c r="AR14" s="20"/>
      <c r="AS14" s="20"/>
      <c r="AT14" s="20"/>
      <c r="AU14" s="20"/>
      <c r="AV14" s="11" t="str">
        <f t="shared" si="0"/>
        <v>-</v>
      </c>
    </row>
    <row r="15" spans="1:48" ht="132" x14ac:dyDescent="0.25">
      <c r="A15" s="1" t="s">
        <v>106</v>
      </c>
      <c r="B15" s="1" t="s">
        <v>39</v>
      </c>
      <c r="C15" s="1" t="s">
        <v>27</v>
      </c>
      <c r="D15" s="1">
        <v>1</v>
      </c>
      <c r="E15" s="1"/>
      <c r="F15" s="1" t="s">
        <v>185</v>
      </c>
      <c r="G15" s="1" t="s">
        <v>186</v>
      </c>
      <c r="H15" s="1" t="s">
        <v>187</v>
      </c>
      <c r="I15" s="1"/>
      <c r="J15" s="1">
        <v>565500</v>
      </c>
      <c r="K15" s="1" t="s">
        <v>188</v>
      </c>
      <c r="L15" s="1" t="s">
        <v>102</v>
      </c>
      <c r="M15" s="1" t="s">
        <v>22</v>
      </c>
      <c r="N15" s="1"/>
      <c r="O15" s="1"/>
      <c r="P15" s="1">
        <v>0</v>
      </c>
      <c r="Q15" s="1"/>
      <c r="R15" s="1">
        <v>241</v>
      </c>
      <c r="S15" s="1">
        <v>6606</v>
      </c>
      <c r="T15" s="1">
        <v>2118</v>
      </c>
      <c r="U15" s="1"/>
      <c r="V15" s="1">
        <v>2004</v>
      </c>
      <c r="W15" s="1">
        <v>4122</v>
      </c>
      <c r="X15" s="1">
        <v>68157</v>
      </c>
      <c r="Y15" s="1">
        <v>10</v>
      </c>
      <c r="Z15" s="1">
        <v>141026</v>
      </c>
      <c r="AA15" s="1">
        <v>880</v>
      </c>
      <c r="AB15" s="1">
        <v>176375</v>
      </c>
      <c r="AC15" s="1" t="s">
        <v>189</v>
      </c>
      <c r="AD15" s="12" t="s">
        <v>190</v>
      </c>
      <c r="AE15" s="1"/>
      <c r="AF15" s="1"/>
      <c r="AG15" s="1"/>
      <c r="AH15" s="1"/>
      <c r="AI15" s="1"/>
      <c r="AJ15" s="1"/>
      <c r="AK15" s="1"/>
      <c r="AL15" s="1"/>
      <c r="AM15" s="1">
        <v>0</v>
      </c>
      <c r="AN15" s="1">
        <v>32032</v>
      </c>
      <c r="AO15" s="20"/>
      <c r="AP15" s="20"/>
      <c r="AQ15" s="20"/>
      <c r="AR15" s="20"/>
      <c r="AS15" s="20"/>
      <c r="AT15" s="20"/>
      <c r="AU15" s="20"/>
      <c r="AV15" s="11" t="str">
        <f t="shared" si="0"/>
        <v>-</v>
      </c>
    </row>
    <row r="16" spans="1:48" ht="60" x14ac:dyDescent="0.25">
      <c r="A16" s="8" t="s">
        <v>2</v>
      </c>
      <c r="B16" s="8" t="s">
        <v>37</v>
      </c>
      <c r="C16" s="8" t="s">
        <v>23</v>
      </c>
      <c r="D16" s="8">
        <v>1</v>
      </c>
      <c r="E16" s="8" t="s">
        <v>191</v>
      </c>
      <c r="F16" s="8" t="s">
        <v>192</v>
      </c>
      <c r="G16" s="8" t="s">
        <v>193</v>
      </c>
      <c r="H16" s="8" t="s">
        <v>194</v>
      </c>
      <c r="I16" s="8" t="s">
        <v>195</v>
      </c>
      <c r="J16" s="8">
        <v>243600</v>
      </c>
      <c r="K16" s="8" t="s">
        <v>196</v>
      </c>
      <c r="L16" s="8" t="s">
        <v>102</v>
      </c>
      <c r="M16" s="8" t="s">
        <v>14</v>
      </c>
      <c r="N16" s="8">
        <v>243600</v>
      </c>
      <c r="O16" s="8">
        <v>29760</v>
      </c>
      <c r="P16" s="8">
        <v>1176</v>
      </c>
      <c r="Q16" s="8"/>
      <c r="R16" s="8">
        <v>503</v>
      </c>
      <c r="S16" s="8">
        <v>14320</v>
      </c>
      <c r="T16" s="8">
        <v>876</v>
      </c>
      <c r="U16" s="8"/>
      <c r="V16" s="8">
        <v>300</v>
      </c>
      <c r="W16" s="8">
        <v>1176</v>
      </c>
      <c r="X16" s="8">
        <v>29760</v>
      </c>
      <c r="Y16" s="8">
        <v>4</v>
      </c>
      <c r="Z16" s="8">
        <v>21171</v>
      </c>
      <c r="AA16" s="8">
        <v>256</v>
      </c>
      <c r="AB16" s="8">
        <v>23848</v>
      </c>
      <c r="AC16" s="8" t="s">
        <v>197</v>
      </c>
      <c r="AD16" s="9" t="s">
        <v>198</v>
      </c>
      <c r="AE16" s="8">
        <v>1385.5</v>
      </c>
      <c r="AF16" s="8">
        <v>230524</v>
      </c>
      <c r="AG16" s="8">
        <v>33376</v>
      </c>
      <c r="AH16" s="8">
        <v>263900</v>
      </c>
      <c r="AI16" s="8" t="s">
        <v>199</v>
      </c>
      <c r="AJ16" s="8" t="s">
        <v>106</v>
      </c>
      <c r="AK16" s="10">
        <v>45778</v>
      </c>
      <c r="AL16" s="8"/>
      <c r="AM16" s="8">
        <v>0</v>
      </c>
      <c r="AN16" s="8">
        <v>11751</v>
      </c>
      <c r="AO16" s="20"/>
      <c r="AP16" s="20"/>
      <c r="AQ16" s="20"/>
      <c r="AR16" s="20"/>
      <c r="AS16" s="20"/>
      <c r="AT16" s="20"/>
      <c r="AU16" s="20"/>
      <c r="AV16" s="11">
        <f t="shared" si="0"/>
        <v>0</v>
      </c>
    </row>
    <row r="17" spans="1:48" ht="72" x14ac:dyDescent="0.25">
      <c r="A17" s="4" t="s">
        <v>155</v>
      </c>
      <c r="B17" s="4" t="s">
        <v>37</v>
      </c>
      <c r="C17" s="4" t="s">
        <v>21</v>
      </c>
      <c r="D17" s="4">
        <v>1</v>
      </c>
      <c r="E17" s="4"/>
      <c r="F17" s="4" t="s">
        <v>200</v>
      </c>
      <c r="G17" s="4" t="s">
        <v>201</v>
      </c>
      <c r="H17" s="4" t="s">
        <v>202</v>
      </c>
      <c r="I17" s="4"/>
      <c r="J17" s="4">
        <v>1227000</v>
      </c>
      <c r="K17" s="4" t="s">
        <v>203</v>
      </c>
      <c r="L17" s="4" t="s">
        <v>102</v>
      </c>
      <c r="M17" s="4" t="s">
        <v>22</v>
      </c>
      <c r="N17" s="4"/>
      <c r="O17" s="4"/>
      <c r="P17" s="4"/>
      <c r="Q17" s="4"/>
      <c r="R17" s="4">
        <v>393</v>
      </c>
      <c r="S17" s="4">
        <v>11100</v>
      </c>
      <c r="T17" s="4">
        <v>4344</v>
      </c>
      <c r="U17" s="4"/>
      <c r="V17" s="4">
        <v>2090</v>
      </c>
      <c r="W17" s="4">
        <v>6434</v>
      </c>
      <c r="X17" s="4">
        <v>129485</v>
      </c>
      <c r="Y17" s="4">
        <v>12</v>
      </c>
      <c r="Z17" s="4">
        <v>148602</v>
      </c>
      <c r="AA17" s="4">
        <v>1536</v>
      </c>
      <c r="AB17" s="4">
        <v>187322</v>
      </c>
      <c r="AC17" s="4" t="s">
        <v>204</v>
      </c>
      <c r="AD17" s="13" t="s">
        <v>104</v>
      </c>
      <c r="AE17" s="4"/>
      <c r="AF17" s="4"/>
      <c r="AG17" s="4"/>
      <c r="AH17" s="4"/>
      <c r="AI17" s="4"/>
      <c r="AJ17" s="4"/>
      <c r="AK17" s="4"/>
      <c r="AL17" s="4"/>
      <c r="AM17" s="4">
        <v>0</v>
      </c>
      <c r="AN17" s="4"/>
      <c r="AO17" s="20"/>
      <c r="AP17" s="20"/>
      <c r="AQ17" s="20"/>
      <c r="AR17" s="20"/>
      <c r="AS17" s="20"/>
      <c r="AT17" s="20"/>
      <c r="AU17" s="20"/>
      <c r="AV17" s="11" t="str">
        <f t="shared" si="0"/>
        <v>-</v>
      </c>
    </row>
    <row r="18" spans="1:48" ht="60" x14ac:dyDescent="0.25">
      <c r="A18" s="4" t="s">
        <v>155</v>
      </c>
      <c r="B18" s="4" t="s">
        <v>35</v>
      </c>
      <c r="C18" s="4" t="s">
        <v>23</v>
      </c>
      <c r="D18" s="4">
        <v>1</v>
      </c>
      <c r="E18" s="4"/>
      <c r="F18" s="4" t="s">
        <v>205</v>
      </c>
      <c r="G18" s="4" t="s">
        <v>206</v>
      </c>
      <c r="H18" s="4" t="s">
        <v>207</v>
      </c>
      <c r="I18" s="4"/>
      <c r="J18" s="4">
        <v>157000</v>
      </c>
      <c r="K18" s="4" t="s">
        <v>120</v>
      </c>
      <c r="L18" s="4" t="s">
        <v>102</v>
      </c>
      <c r="M18" s="4" t="s">
        <v>22</v>
      </c>
      <c r="N18" s="4"/>
      <c r="O18" s="4"/>
      <c r="P18" s="4"/>
      <c r="Q18" s="4"/>
      <c r="R18" s="4">
        <v>101</v>
      </c>
      <c r="S18" s="4">
        <v>2600</v>
      </c>
      <c r="T18" s="4">
        <v>767</v>
      </c>
      <c r="U18" s="4"/>
      <c r="V18" s="4">
        <v>456</v>
      </c>
      <c r="W18" s="4">
        <v>1223</v>
      </c>
      <c r="X18" s="4">
        <v>20501</v>
      </c>
      <c r="Y18" s="4">
        <v>4</v>
      </c>
      <c r="Z18" s="4">
        <v>33516</v>
      </c>
      <c r="AA18" s="4">
        <v>272</v>
      </c>
      <c r="AB18" s="4">
        <v>45400</v>
      </c>
      <c r="AC18" s="4" t="s">
        <v>208</v>
      </c>
      <c r="AD18" s="13" t="s">
        <v>122</v>
      </c>
      <c r="AE18" s="4"/>
      <c r="AF18" s="4"/>
      <c r="AG18" s="4"/>
      <c r="AH18" s="4"/>
      <c r="AI18" s="4"/>
      <c r="AJ18" s="4"/>
      <c r="AK18" s="4"/>
      <c r="AL18" s="4"/>
      <c r="AM18" s="4">
        <v>0</v>
      </c>
      <c r="AN18" s="4"/>
      <c r="AO18" s="20"/>
      <c r="AP18" s="20"/>
      <c r="AQ18" s="20"/>
      <c r="AR18" s="20"/>
      <c r="AS18" s="20"/>
      <c r="AT18" s="20"/>
      <c r="AU18" s="20"/>
      <c r="AV18" s="11" t="str">
        <f t="shared" si="0"/>
        <v>-</v>
      </c>
    </row>
    <row r="19" spans="1:48" ht="72" x14ac:dyDescent="0.25">
      <c r="A19" s="4" t="s">
        <v>155</v>
      </c>
      <c r="B19" s="4" t="s">
        <v>35</v>
      </c>
      <c r="C19" s="4" t="s">
        <v>30</v>
      </c>
      <c r="D19" s="4">
        <v>1</v>
      </c>
      <c r="E19" s="4"/>
      <c r="F19" s="4" t="s">
        <v>209</v>
      </c>
      <c r="G19" s="4" t="s">
        <v>210</v>
      </c>
      <c r="H19" s="4" t="s">
        <v>211</v>
      </c>
      <c r="I19" s="4"/>
      <c r="J19" s="4">
        <v>24497000</v>
      </c>
      <c r="K19" s="4" t="s">
        <v>151</v>
      </c>
      <c r="L19" s="4" t="s">
        <v>102</v>
      </c>
      <c r="M19" s="4" t="s">
        <v>14</v>
      </c>
      <c r="N19" s="4"/>
      <c r="O19" s="4"/>
      <c r="P19" s="4"/>
      <c r="Q19" s="4"/>
      <c r="R19" s="4">
        <v>15580</v>
      </c>
      <c r="S19" s="4">
        <v>328652</v>
      </c>
      <c r="T19" s="4">
        <v>91256</v>
      </c>
      <c r="U19" s="4"/>
      <c r="V19" s="4">
        <v>22300</v>
      </c>
      <c r="W19" s="4">
        <v>113556</v>
      </c>
      <c r="X19" s="4">
        <v>1800000</v>
      </c>
      <c r="Y19" s="4">
        <v>78</v>
      </c>
      <c r="Z19" s="4">
        <v>1971510</v>
      </c>
      <c r="AA19" s="4">
        <v>12792</v>
      </c>
      <c r="AB19" s="4">
        <v>2688042</v>
      </c>
      <c r="AC19" s="4" t="s">
        <v>212</v>
      </c>
      <c r="AD19" s="13" t="s">
        <v>104</v>
      </c>
      <c r="AE19" s="4"/>
      <c r="AF19" s="4"/>
      <c r="AG19" s="4"/>
      <c r="AH19" s="4"/>
      <c r="AI19" s="4"/>
      <c r="AJ19" s="4"/>
      <c r="AK19" s="4"/>
      <c r="AL19" s="4"/>
      <c r="AM19" s="4">
        <v>0</v>
      </c>
      <c r="AN19" s="4"/>
      <c r="AO19" s="20"/>
      <c r="AP19" s="20"/>
      <c r="AQ19" s="20"/>
      <c r="AR19" s="20"/>
      <c r="AS19" s="20"/>
      <c r="AT19" s="20"/>
      <c r="AU19" s="20"/>
      <c r="AV19" s="11" t="str">
        <f t="shared" si="0"/>
        <v>-</v>
      </c>
    </row>
    <row r="20" spans="1:48" ht="120" x14ac:dyDescent="0.25">
      <c r="A20" s="4" t="s">
        <v>155</v>
      </c>
      <c r="B20" s="4" t="s">
        <v>35</v>
      </c>
      <c r="C20" s="4" t="s">
        <v>23</v>
      </c>
      <c r="D20" s="4">
        <v>1</v>
      </c>
      <c r="E20" s="4"/>
      <c r="F20" s="4" t="s">
        <v>213</v>
      </c>
      <c r="G20" s="4" t="s">
        <v>214</v>
      </c>
      <c r="H20" s="4" t="s">
        <v>211</v>
      </c>
      <c r="I20" s="4"/>
      <c r="J20" s="4">
        <v>8997000</v>
      </c>
      <c r="K20" s="4" t="s">
        <v>151</v>
      </c>
      <c r="L20" s="4" t="s">
        <v>102</v>
      </c>
      <c r="M20" s="4" t="s">
        <v>14</v>
      </c>
      <c r="N20" s="4"/>
      <c r="O20" s="4"/>
      <c r="P20" s="4"/>
      <c r="Q20" s="4"/>
      <c r="R20" s="4">
        <v>7827</v>
      </c>
      <c r="S20" s="4">
        <v>55000</v>
      </c>
      <c r="T20" s="4">
        <v>20612</v>
      </c>
      <c r="U20" s="4"/>
      <c r="V20" s="4">
        <v>10308</v>
      </c>
      <c r="W20" s="4">
        <v>30920</v>
      </c>
      <c r="X20" s="4">
        <v>997000</v>
      </c>
      <c r="Y20" s="4">
        <v>40</v>
      </c>
      <c r="Z20" s="4">
        <v>947600</v>
      </c>
      <c r="AA20" s="4">
        <v>5760</v>
      </c>
      <c r="AB20" s="4">
        <v>1491200</v>
      </c>
      <c r="AC20" s="4" t="s">
        <v>146</v>
      </c>
      <c r="AD20" s="13" t="s">
        <v>215</v>
      </c>
      <c r="AE20" s="4"/>
      <c r="AF20" s="4"/>
      <c r="AG20" s="4"/>
      <c r="AH20" s="4"/>
      <c r="AI20" s="4"/>
      <c r="AJ20" s="4"/>
      <c r="AK20" s="4"/>
      <c r="AL20" s="4"/>
      <c r="AM20" s="4">
        <v>0</v>
      </c>
      <c r="AN20" s="4"/>
      <c r="AO20" s="20"/>
      <c r="AP20" s="20"/>
      <c r="AQ20" s="20"/>
      <c r="AR20" s="20"/>
      <c r="AS20" s="20"/>
      <c r="AT20" s="20"/>
      <c r="AU20" s="20"/>
      <c r="AV20" s="11" t="str">
        <f t="shared" si="0"/>
        <v>-</v>
      </c>
    </row>
    <row r="21" spans="1:48" ht="48" x14ac:dyDescent="0.25">
      <c r="A21" s="4" t="s">
        <v>155</v>
      </c>
      <c r="B21" s="4" t="s">
        <v>35</v>
      </c>
      <c r="C21" s="4" t="s">
        <v>23</v>
      </c>
      <c r="D21" s="4">
        <v>2</v>
      </c>
      <c r="E21" s="4"/>
      <c r="F21" s="4" t="s">
        <v>216</v>
      </c>
      <c r="G21" s="4" t="s">
        <v>217</v>
      </c>
      <c r="H21" s="4" t="s">
        <v>218</v>
      </c>
      <c r="I21" s="4"/>
      <c r="J21" s="4">
        <v>6857000</v>
      </c>
      <c r="K21" s="4" t="s">
        <v>219</v>
      </c>
      <c r="L21" s="4" t="s">
        <v>102</v>
      </c>
      <c r="M21" s="4" t="s">
        <v>14</v>
      </c>
      <c r="N21" s="4"/>
      <c r="O21" s="4"/>
      <c r="P21" s="4"/>
      <c r="Q21" s="4"/>
      <c r="R21" s="4">
        <v>8522</v>
      </c>
      <c r="S21" s="4">
        <v>170000</v>
      </c>
      <c r="T21" s="4">
        <v>26297</v>
      </c>
      <c r="U21" s="4"/>
      <c r="V21" s="4">
        <v>11096</v>
      </c>
      <c r="W21" s="4">
        <v>37393</v>
      </c>
      <c r="X21" s="4">
        <v>650000</v>
      </c>
      <c r="Y21" s="4">
        <v>40</v>
      </c>
      <c r="Z21" s="4">
        <v>800849</v>
      </c>
      <c r="AA21" s="4">
        <v>6160</v>
      </c>
      <c r="AB21" s="4">
        <v>1182911</v>
      </c>
      <c r="AC21" s="4" t="s">
        <v>146</v>
      </c>
      <c r="AD21" s="13" t="s">
        <v>220</v>
      </c>
      <c r="AE21" s="4"/>
      <c r="AF21" s="4"/>
      <c r="AG21" s="4"/>
      <c r="AH21" s="4"/>
      <c r="AI21" s="4"/>
      <c r="AJ21" s="4"/>
      <c r="AK21" s="4"/>
      <c r="AL21" s="4"/>
      <c r="AM21" s="4">
        <v>0</v>
      </c>
      <c r="AN21" s="4"/>
      <c r="AO21" s="20"/>
      <c r="AP21" s="20"/>
      <c r="AQ21" s="20"/>
      <c r="AR21" s="20"/>
      <c r="AS21" s="20"/>
      <c r="AT21" s="20"/>
      <c r="AU21" s="20"/>
      <c r="AV21" s="11" t="str">
        <f t="shared" si="0"/>
        <v>-</v>
      </c>
    </row>
    <row r="22" spans="1:48" ht="36" x14ac:dyDescent="0.25">
      <c r="A22" s="8" t="s">
        <v>2</v>
      </c>
      <c r="B22" s="8" t="s">
        <v>37</v>
      </c>
      <c r="C22" s="8" t="s">
        <v>23</v>
      </c>
      <c r="D22" s="8">
        <v>2</v>
      </c>
      <c r="E22" s="8" t="s">
        <v>221</v>
      </c>
      <c r="F22" s="8" t="s">
        <v>222</v>
      </c>
      <c r="G22" s="8" t="s">
        <v>223</v>
      </c>
      <c r="H22" s="8" t="s">
        <v>218</v>
      </c>
      <c r="I22" s="8" t="s">
        <v>224</v>
      </c>
      <c r="J22" s="8">
        <v>71284</v>
      </c>
      <c r="K22" s="8" t="s">
        <v>225</v>
      </c>
      <c r="L22" s="8" t="s">
        <v>102</v>
      </c>
      <c r="M22" s="8" t="s">
        <v>18</v>
      </c>
      <c r="N22" s="8">
        <v>71284</v>
      </c>
      <c r="O22" s="8">
        <v>10095</v>
      </c>
      <c r="P22" s="8">
        <v>450</v>
      </c>
      <c r="Q22" s="8" t="s">
        <v>226</v>
      </c>
      <c r="R22" s="8">
        <v>22</v>
      </c>
      <c r="S22" s="8"/>
      <c r="T22" s="8">
        <v>326</v>
      </c>
      <c r="U22" s="8"/>
      <c r="V22" s="8">
        <v>124</v>
      </c>
      <c r="W22" s="8">
        <v>450</v>
      </c>
      <c r="X22" s="8">
        <v>10095</v>
      </c>
      <c r="Y22" s="8">
        <v>2</v>
      </c>
      <c r="Z22" s="8">
        <v>8156</v>
      </c>
      <c r="AA22" s="8">
        <v>80</v>
      </c>
      <c r="AB22" s="8"/>
      <c r="AC22" s="8" t="s">
        <v>227</v>
      </c>
      <c r="AD22" s="9" t="s">
        <v>228</v>
      </c>
      <c r="AE22" s="8">
        <v>947</v>
      </c>
      <c r="AF22" s="8">
        <v>114591</v>
      </c>
      <c r="AG22" s="8">
        <v>11382</v>
      </c>
      <c r="AH22" s="8">
        <v>125973</v>
      </c>
      <c r="AI22" s="8" t="s">
        <v>179</v>
      </c>
      <c r="AJ22" s="8" t="s">
        <v>106</v>
      </c>
      <c r="AK22" s="10">
        <v>45748</v>
      </c>
      <c r="AL22" s="8"/>
      <c r="AM22" s="8">
        <v>0</v>
      </c>
      <c r="AN22" s="8"/>
      <c r="AO22" s="20"/>
      <c r="AP22" s="20"/>
      <c r="AQ22" s="20"/>
      <c r="AR22" s="20"/>
      <c r="AS22" s="20"/>
      <c r="AT22" s="20"/>
      <c r="AU22" s="20"/>
      <c r="AV22" s="11">
        <f t="shared" si="0"/>
        <v>0</v>
      </c>
    </row>
    <row r="23" spans="1:48" ht="60" x14ac:dyDescent="0.25">
      <c r="A23" s="4" t="s">
        <v>155</v>
      </c>
      <c r="B23" s="4" t="s">
        <v>37</v>
      </c>
      <c r="C23" s="4" t="s">
        <v>27</v>
      </c>
      <c r="D23" s="4">
        <v>2</v>
      </c>
      <c r="E23" s="4"/>
      <c r="F23" s="4" t="s">
        <v>229</v>
      </c>
      <c r="G23" s="4" t="s">
        <v>230</v>
      </c>
      <c r="H23" s="4" t="s">
        <v>231</v>
      </c>
      <c r="I23" s="4"/>
      <c r="J23" s="4">
        <v>57000</v>
      </c>
      <c r="K23" s="4" t="s">
        <v>232</v>
      </c>
      <c r="L23" s="4" t="s">
        <v>102</v>
      </c>
      <c r="M23" s="4" t="s">
        <v>22</v>
      </c>
      <c r="N23" s="4"/>
      <c r="O23" s="4"/>
      <c r="P23" s="4"/>
      <c r="Q23" s="4"/>
      <c r="R23" s="4">
        <v>71</v>
      </c>
      <c r="S23" s="4">
        <v>1640</v>
      </c>
      <c r="T23" s="4">
        <v>262</v>
      </c>
      <c r="U23" s="4"/>
      <c r="V23" s="4">
        <v>98</v>
      </c>
      <c r="W23" s="4">
        <v>360</v>
      </c>
      <c r="X23" s="4">
        <v>10435</v>
      </c>
      <c r="Y23" s="4">
        <v>1</v>
      </c>
      <c r="Z23" s="4">
        <v>6893</v>
      </c>
      <c r="AA23" s="4">
        <v>80</v>
      </c>
      <c r="AB23" s="4">
        <v>9041</v>
      </c>
      <c r="AC23" s="4" t="s">
        <v>153</v>
      </c>
      <c r="AD23" s="13" t="s">
        <v>198</v>
      </c>
      <c r="AE23" s="4"/>
      <c r="AF23" s="4"/>
      <c r="AG23" s="4"/>
      <c r="AH23" s="4"/>
      <c r="AI23" s="4"/>
      <c r="AJ23" s="4"/>
      <c r="AK23" s="4"/>
      <c r="AL23" s="4"/>
      <c r="AM23" s="4">
        <v>0</v>
      </c>
      <c r="AN23" s="4"/>
      <c r="AO23" s="20"/>
      <c r="AP23" s="20"/>
      <c r="AQ23" s="20"/>
      <c r="AR23" s="20"/>
      <c r="AS23" s="20"/>
      <c r="AT23" s="20"/>
      <c r="AU23" s="20"/>
      <c r="AV23" s="11" t="str">
        <f t="shared" si="0"/>
        <v>-</v>
      </c>
    </row>
    <row r="24" spans="1:48" ht="48" x14ac:dyDescent="0.25">
      <c r="A24" s="4" t="s">
        <v>155</v>
      </c>
      <c r="B24" s="4" t="s">
        <v>35</v>
      </c>
      <c r="C24" s="4" t="s">
        <v>27</v>
      </c>
      <c r="D24" s="4">
        <v>2</v>
      </c>
      <c r="E24" s="4"/>
      <c r="F24" s="4" t="s">
        <v>233</v>
      </c>
      <c r="G24" s="4" t="s">
        <v>234</v>
      </c>
      <c r="H24" s="4" t="s">
        <v>235</v>
      </c>
      <c r="I24" s="4"/>
      <c r="J24" s="4">
        <v>437000</v>
      </c>
      <c r="K24" s="4" t="s">
        <v>151</v>
      </c>
      <c r="L24" s="4" t="s">
        <v>102</v>
      </c>
      <c r="M24" s="4" t="s">
        <v>16</v>
      </c>
      <c r="N24" s="4"/>
      <c r="O24" s="4"/>
      <c r="P24" s="4"/>
      <c r="Q24" s="4"/>
      <c r="R24" s="4">
        <v>400</v>
      </c>
      <c r="S24" s="4">
        <v>18000</v>
      </c>
      <c r="T24" s="4">
        <v>1666</v>
      </c>
      <c r="U24" s="4"/>
      <c r="V24" s="4">
        <v>704</v>
      </c>
      <c r="W24" s="4">
        <v>2370</v>
      </c>
      <c r="X24" s="4">
        <v>49392</v>
      </c>
      <c r="Y24" s="4">
        <v>8</v>
      </c>
      <c r="Z24" s="4">
        <v>0</v>
      </c>
      <c r="AA24" s="4">
        <v>512</v>
      </c>
      <c r="AB24" s="4">
        <v>60278</v>
      </c>
      <c r="AC24" s="4" t="s">
        <v>123</v>
      </c>
      <c r="AD24" s="13" t="s">
        <v>236</v>
      </c>
      <c r="AE24" s="4"/>
      <c r="AF24" s="4"/>
      <c r="AG24" s="4"/>
      <c r="AH24" s="4"/>
      <c r="AI24" s="4"/>
      <c r="AJ24" s="4"/>
      <c r="AK24" s="4"/>
      <c r="AL24" s="4"/>
      <c r="AM24" s="4">
        <v>0</v>
      </c>
      <c r="AN24" s="4"/>
      <c r="AO24" s="20"/>
      <c r="AP24" s="20"/>
      <c r="AQ24" s="20"/>
      <c r="AR24" s="20"/>
      <c r="AS24" s="20"/>
      <c r="AT24" s="20"/>
      <c r="AU24" s="20"/>
      <c r="AV24" s="11" t="str">
        <f t="shared" si="0"/>
        <v>-</v>
      </c>
    </row>
    <row r="25" spans="1:48" ht="72" x14ac:dyDescent="0.25">
      <c r="A25" s="8" t="s">
        <v>2</v>
      </c>
      <c r="B25" s="8" t="s">
        <v>35</v>
      </c>
      <c r="C25" s="8" t="s">
        <v>23</v>
      </c>
      <c r="D25" s="8">
        <v>2</v>
      </c>
      <c r="E25" s="8" t="s">
        <v>237</v>
      </c>
      <c r="F25" s="8" t="s">
        <v>238</v>
      </c>
      <c r="G25" s="8" t="s">
        <v>239</v>
      </c>
      <c r="H25" s="8" t="s">
        <v>240</v>
      </c>
      <c r="I25" s="8" t="s">
        <v>241</v>
      </c>
      <c r="J25" s="8">
        <v>880700</v>
      </c>
      <c r="K25" s="8" t="s">
        <v>242</v>
      </c>
      <c r="L25" s="8" t="s">
        <v>102</v>
      </c>
      <c r="M25" s="8" t="s">
        <v>22</v>
      </c>
      <c r="N25" s="8">
        <v>846100</v>
      </c>
      <c r="O25" s="8">
        <v>76793</v>
      </c>
      <c r="P25" s="8">
        <v>4932</v>
      </c>
      <c r="Q25" s="8"/>
      <c r="R25" s="8">
        <v>220</v>
      </c>
      <c r="S25" s="8">
        <v>7690</v>
      </c>
      <c r="T25" s="8">
        <v>4256</v>
      </c>
      <c r="U25" s="8"/>
      <c r="V25" s="8">
        <v>1012</v>
      </c>
      <c r="W25" s="8">
        <v>5268</v>
      </c>
      <c r="X25" s="8">
        <v>89823</v>
      </c>
      <c r="Y25" s="8">
        <v>10</v>
      </c>
      <c r="Z25" s="8">
        <v>90043</v>
      </c>
      <c r="AA25" s="8">
        <v>880</v>
      </c>
      <c r="AB25" s="8">
        <v>96033</v>
      </c>
      <c r="AC25" s="8" t="s">
        <v>212</v>
      </c>
      <c r="AD25" s="9" t="s">
        <v>104</v>
      </c>
      <c r="AE25" s="8">
        <v>8624.75</v>
      </c>
      <c r="AF25" s="8">
        <v>888171</v>
      </c>
      <c r="AG25" s="8">
        <v>159811</v>
      </c>
      <c r="AH25" s="8">
        <v>1047982</v>
      </c>
      <c r="AI25" s="8" t="s">
        <v>243</v>
      </c>
      <c r="AJ25" s="8" t="s">
        <v>106</v>
      </c>
      <c r="AK25" s="10">
        <v>45717</v>
      </c>
      <c r="AL25" s="8"/>
      <c r="AM25" s="8">
        <v>0</v>
      </c>
      <c r="AN25" s="8"/>
      <c r="AO25" s="20"/>
      <c r="AP25" s="20"/>
      <c r="AQ25" s="20"/>
      <c r="AR25" s="20"/>
      <c r="AS25" s="20"/>
      <c r="AT25" s="20"/>
      <c r="AU25" s="20"/>
      <c r="AV25" s="11">
        <f t="shared" si="0"/>
        <v>-3.928693085045986E-2</v>
      </c>
    </row>
    <row r="26" spans="1:48" ht="72" x14ac:dyDescent="0.25">
      <c r="A26" s="8" t="s">
        <v>2</v>
      </c>
      <c r="B26" s="8" t="s">
        <v>37</v>
      </c>
      <c r="C26" s="8" t="s">
        <v>13</v>
      </c>
      <c r="D26" s="8">
        <v>2</v>
      </c>
      <c r="E26" s="8" t="s">
        <v>244</v>
      </c>
      <c r="F26" s="8" t="s">
        <v>245</v>
      </c>
      <c r="G26" s="8" t="s">
        <v>246</v>
      </c>
      <c r="H26" s="8" t="s">
        <v>247</v>
      </c>
      <c r="I26" s="8" t="s">
        <v>248</v>
      </c>
      <c r="J26" s="8">
        <v>1879000</v>
      </c>
      <c r="K26" s="8" t="s">
        <v>249</v>
      </c>
      <c r="L26" s="8" t="s">
        <v>102</v>
      </c>
      <c r="M26" s="8" t="s">
        <v>22</v>
      </c>
      <c r="N26" s="8">
        <v>1879000</v>
      </c>
      <c r="O26" s="8">
        <v>160107</v>
      </c>
      <c r="P26" s="8">
        <v>9022</v>
      </c>
      <c r="Q26" s="8"/>
      <c r="R26" s="8">
        <v>1986</v>
      </c>
      <c r="S26" s="8">
        <v>60000</v>
      </c>
      <c r="T26" s="8">
        <v>6718</v>
      </c>
      <c r="U26" s="8"/>
      <c r="V26" s="8">
        <v>2304</v>
      </c>
      <c r="W26" s="8">
        <v>9022</v>
      </c>
      <c r="X26" s="8">
        <v>160107</v>
      </c>
      <c r="Y26" s="8">
        <v>16</v>
      </c>
      <c r="Z26" s="8">
        <v>170778</v>
      </c>
      <c r="AA26" s="8">
        <v>1536</v>
      </c>
      <c r="AB26" s="8">
        <v>227416</v>
      </c>
      <c r="AC26" s="8" t="s">
        <v>170</v>
      </c>
      <c r="AD26" s="9" t="s">
        <v>104</v>
      </c>
      <c r="AE26" s="8">
        <v>9911.5</v>
      </c>
      <c r="AF26" s="8">
        <v>2190475</v>
      </c>
      <c r="AG26" s="8">
        <v>-299630</v>
      </c>
      <c r="AH26" s="8">
        <v>1890845</v>
      </c>
      <c r="AI26" s="8" t="s">
        <v>250</v>
      </c>
      <c r="AJ26" s="8" t="s">
        <v>106</v>
      </c>
      <c r="AK26" s="10">
        <v>45778</v>
      </c>
      <c r="AL26" s="8"/>
      <c r="AM26" s="8">
        <v>0</v>
      </c>
      <c r="AN26" s="8"/>
      <c r="AO26" s="20"/>
      <c r="AP26" s="20"/>
      <c r="AQ26" s="20"/>
      <c r="AR26" s="20"/>
      <c r="AS26" s="20"/>
      <c r="AT26" s="20"/>
      <c r="AU26" s="20"/>
      <c r="AV26" s="11">
        <f t="shared" si="0"/>
        <v>0</v>
      </c>
    </row>
    <row r="27" spans="1:48" ht="72" x14ac:dyDescent="0.25">
      <c r="A27" s="4" t="s">
        <v>155</v>
      </c>
      <c r="B27" s="4" t="s">
        <v>37</v>
      </c>
      <c r="C27" s="4" t="s">
        <v>13</v>
      </c>
      <c r="D27" s="4">
        <v>2</v>
      </c>
      <c r="E27" s="4"/>
      <c r="F27" s="4" t="s">
        <v>251</v>
      </c>
      <c r="G27" s="4" t="s">
        <v>252</v>
      </c>
      <c r="H27" s="4" t="s">
        <v>247</v>
      </c>
      <c r="I27" s="4"/>
      <c r="J27" s="4">
        <v>1069000</v>
      </c>
      <c r="K27" s="4" t="s">
        <v>249</v>
      </c>
      <c r="L27" s="4" t="s">
        <v>102</v>
      </c>
      <c r="M27" s="4" t="s">
        <v>22</v>
      </c>
      <c r="N27" s="4"/>
      <c r="O27" s="4"/>
      <c r="P27" s="4"/>
      <c r="Q27" s="4"/>
      <c r="R27" s="4">
        <v>1985</v>
      </c>
      <c r="S27" s="4">
        <v>73740</v>
      </c>
      <c r="T27" s="4">
        <v>3946</v>
      </c>
      <c r="U27" s="4"/>
      <c r="V27" s="4">
        <v>1602</v>
      </c>
      <c r="W27" s="4">
        <v>5548</v>
      </c>
      <c r="X27" s="4">
        <v>110168</v>
      </c>
      <c r="Y27" s="4">
        <v>13</v>
      </c>
      <c r="Z27" s="4">
        <v>118161</v>
      </c>
      <c r="AA27" s="4">
        <v>1248</v>
      </c>
      <c r="AB27" s="4">
        <v>171869</v>
      </c>
      <c r="AC27" s="4" t="s">
        <v>153</v>
      </c>
      <c r="AD27" s="13" t="s">
        <v>104</v>
      </c>
      <c r="AE27" s="4"/>
      <c r="AF27" s="4"/>
      <c r="AG27" s="4"/>
      <c r="AH27" s="4"/>
      <c r="AI27" s="4"/>
      <c r="AJ27" s="4"/>
      <c r="AK27" s="4"/>
      <c r="AL27" s="4"/>
      <c r="AM27" s="4">
        <v>0</v>
      </c>
      <c r="AN27" s="4"/>
      <c r="AO27" s="20"/>
      <c r="AP27" s="20"/>
      <c r="AQ27" s="20"/>
      <c r="AR27" s="20"/>
      <c r="AS27" s="20"/>
      <c r="AT27" s="20"/>
      <c r="AU27" s="20"/>
      <c r="AV27" s="11" t="str">
        <f t="shared" si="0"/>
        <v>-</v>
      </c>
    </row>
    <row r="28" spans="1:48" ht="72" x14ac:dyDescent="0.25">
      <c r="A28" s="4" t="s">
        <v>155</v>
      </c>
      <c r="B28" s="4" t="s">
        <v>37</v>
      </c>
      <c r="C28" s="4" t="s">
        <v>13</v>
      </c>
      <c r="D28" s="4">
        <v>2</v>
      </c>
      <c r="E28" s="4"/>
      <c r="F28" s="4" t="s">
        <v>253</v>
      </c>
      <c r="G28" s="4" t="s">
        <v>254</v>
      </c>
      <c r="H28" s="4" t="s">
        <v>247</v>
      </c>
      <c r="I28" s="4"/>
      <c r="J28" s="4">
        <v>1253000</v>
      </c>
      <c r="K28" s="4" t="s">
        <v>249</v>
      </c>
      <c r="L28" s="4" t="s">
        <v>102</v>
      </c>
      <c r="M28" s="4" t="s">
        <v>22</v>
      </c>
      <c r="N28" s="4"/>
      <c r="O28" s="4"/>
      <c r="P28" s="4"/>
      <c r="Q28" s="4"/>
      <c r="R28" s="4">
        <v>1107</v>
      </c>
      <c r="S28" s="4">
        <v>60000</v>
      </c>
      <c r="T28" s="4">
        <v>3392</v>
      </c>
      <c r="U28" s="4"/>
      <c r="V28" s="4">
        <v>1128</v>
      </c>
      <c r="W28" s="4">
        <v>4520</v>
      </c>
      <c r="X28" s="4">
        <v>101110</v>
      </c>
      <c r="Y28" s="4">
        <v>8</v>
      </c>
      <c r="Z28" s="4">
        <v>83989</v>
      </c>
      <c r="AA28" s="4">
        <v>720</v>
      </c>
      <c r="AB28" s="4">
        <v>132088</v>
      </c>
      <c r="AC28" s="4" t="s">
        <v>212</v>
      </c>
      <c r="AD28" s="13" t="s">
        <v>104</v>
      </c>
      <c r="AE28" s="4"/>
      <c r="AF28" s="4"/>
      <c r="AG28" s="4"/>
      <c r="AH28" s="4"/>
      <c r="AI28" s="4"/>
      <c r="AJ28" s="4"/>
      <c r="AK28" s="4"/>
      <c r="AL28" s="4"/>
      <c r="AM28" s="4">
        <v>0</v>
      </c>
      <c r="AN28" s="4"/>
      <c r="AO28" s="20"/>
      <c r="AP28" s="20"/>
      <c r="AQ28" s="20"/>
      <c r="AR28" s="20"/>
      <c r="AS28" s="20"/>
      <c r="AT28" s="20"/>
      <c r="AU28" s="20"/>
      <c r="AV28" s="11" t="str">
        <f t="shared" si="0"/>
        <v>-</v>
      </c>
    </row>
    <row r="29" spans="1:48" ht="36" x14ac:dyDescent="0.25">
      <c r="A29" s="8" t="s">
        <v>2</v>
      </c>
      <c r="B29" s="8" t="s">
        <v>35</v>
      </c>
      <c r="C29" s="8" t="s">
        <v>15</v>
      </c>
      <c r="D29" s="8">
        <v>2</v>
      </c>
      <c r="E29" s="8" t="s">
        <v>255</v>
      </c>
      <c r="F29" s="8" t="s">
        <v>256</v>
      </c>
      <c r="G29" s="8" t="s">
        <v>257</v>
      </c>
      <c r="H29" s="8" t="s">
        <v>258</v>
      </c>
      <c r="I29" s="8" t="s">
        <v>259</v>
      </c>
      <c r="J29" s="8">
        <v>181458</v>
      </c>
      <c r="K29" s="8" t="s">
        <v>260</v>
      </c>
      <c r="L29" s="8" t="s">
        <v>102</v>
      </c>
      <c r="M29" s="8" t="s">
        <v>18</v>
      </c>
      <c r="N29" s="8">
        <v>181458</v>
      </c>
      <c r="O29" s="8"/>
      <c r="P29" s="8">
        <v>0</v>
      </c>
      <c r="Q29" s="8"/>
      <c r="R29" s="8">
        <v>174</v>
      </c>
      <c r="S29" s="8"/>
      <c r="T29" s="8">
        <v>1077</v>
      </c>
      <c r="U29" s="8"/>
      <c r="V29" s="8">
        <v>340</v>
      </c>
      <c r="W29" s="8">
        <v>1417</v>
      </c>
      <c r="X29" s="8">
        <v>23384</v>
      </c>
      <c r="Y29" s="8">
        <v>4</v>
      </c>
      <c r="Z29" s="8">
        <v>22830</v>
      </c>
      <c r="AA29" s="8">
        <v>288</v>
      </c>
      <c r="AB29" s="8">
        <v>33371</v>
      </c>
      <c r="AC29" s="8" t="s">
        <v>113</v>
      </c>
      <c r="AD29" s="9" t="s">
        <v>261</v>
      </c>
      <c r="AE29" s="8">
        <v>1268</v>
      </c>
      <c r="AF29" s="8">
        <v>155091</v>
      </c>
      <c r="AG29" s="8">
        <v>39448</v>
      </c>
      <c r="AH29" s="8">
        <v>194539</v>
      </c>
      <c r="AI29" s="8" t="s">
        <v>262</v>
      </c>
      <c r="AJ29" s="8" t="s">
        <v>263</v>
      </c>
      <c r="AK29" s="10">
        <v>45748</v>
      </c>
      <c r="AL29" s="10">
        <v>45901</v>
      </c>
      <c r="AM29" s="8">
        <v>21</v>
      </c>
      <c r="AN29" s="8"/>
      <c r="AO29" s="20"/>
      <c r="AP29" s="20"/>
      <c r="AQ29" s="20"/>
      <c r="AR29" s="20"/>
      <c r="AS29" s="20"/>
      <c r="AT29" s="20"/>
      <c r="AU29" s="20"/>
      <c r="AV29" s="11">
        <f t="shared" si="0"/>
        <v>0</v>
      </c>
    </row>
    <row r="30" spans="1:48" ht="36" x14ac:dyDescent="0.25">
      <c r="A30" s="8" t="s">
        <v>2</v>
      </c>
      <c r="B30" s="8" t="s">
        <v>35</v>
      </c>
      <c r="C30" s="8" t="s">
        <v>15</v>
      </c>
      <c r="D30" s="8">
        <v>2</v>
      </c>
      <c r="E30" s="8" t="s">
        <v>264</v>
      </c>
      <c r="F30" s="8" t="s">
        <v>265</v>
      </c>
      <c r="G30" s="8" t="s">
        <v>266</v>
      </c>
      <c r="H30" s="8" t="s">
        <v>258</v>
      </c>
      <c r="I30" s="8" t="s">
        <v>267</v>
      </c>
      <c r="J30" s="8">
        <v>123336</v>
      </c>
      <c r="K30" s="8" t="s">
        <v>268</v>
      </c>
      <c r="L30" s="8" t="s">
        <v>102</v>
      </c>
      <c r="M30" s="8" t="s">
        <v>18</v>
      </c>
      <c r="N30" s="8">
        <v>123336</v>
      </c>
      <c r="O30" s="8">
        <v>16182</v>
      </c>
      <c r="P30" s="8">
        <v>1026</v>
      </c>
      <c r="Q30" s="8" t="s">
        <v>269</v>
      </c>
      <c r="R30" s="8">
        <v>70</v>
      </c>
      <c r="S30" s="8"/>
      <c r="T30" s="8">
        <v>686</v>
      </c>
      <c r="U30" s="8"/>
      <c r="V30" s="8">
        <v>340</v>
      </c>
      <c r="W30" s="8">
        <v>1026</v>
      </c>
      <c r="X30" s="8">
        <v>16182</v>
      </c>
      <c r="Y30" s="8">
        <v>4</v>
      </c>
      <c r="Z30" s="8">
        <v>22830</v>
      </c>
      <c r="AA30" s="8">
        <v>288</v>
      </c>
      <c r="AB30" s="8">
        <v>32696</v>
      </c>
      <c r="AC30" s="8" t="s">
        <v>270</v>
      </c>
      <c r="AD30" s="9" t="s">
        <v>261</v>
      </c>
      <c r="AE30" s="8">
        <v>664.5</v>
      </c>
      <c r="AF30" s="8">
        <v>80872</v>
      </c>
      <c r="AG30" s="8">
        <v>47128</v>
      </c>
      <c r="AH30" s="8">
        <v>128000</v>
      </c>
      <c r="AI30" s="8" t="s">
        <v>271</v>
      </c>
      <c r="AJ30" s="8" t="s">
        <v>106</v>
      </c>
      <c r="AK30" s="10">
        <v>45778</v>
      </c>
      <c r="AL30" s="8"/>
      <c r="AM30" s="8">
        <v>0</v>
      </c>
      <c r="AN30" s="8"/>
      <c r="AO30" s="20"/>
      <c r="AP30" s="20"/>
      <c r="AQ30" s="20"/>
      <c r="AR30" s="20"/>
      <c r="AS30" s="20"/>
      <c r="AT30" s="20"/>
      <c r="AU30" s="20"/>
      <c r="AV30" s="11">
        <f t="shared" si="0"/>
        <v>0</v>
      </c>
    </row>
    <row r="31" spans="1:48" ht="36" x14ac:dyDescent="0.25">
      <c r="A31" s="8" t="s">
        <v>2</v>
      </c>
      <c r="B31" s="8" t="s">
        <v>35</v>
      </c>
      <c r="C31" s="8" t="s">
        <v>15</v>
      </c>
      <c r="D31" s="8">
        <v>2</v>
      </c>
      <c r="E31" s="8" t="s">
        <v>272</v>
      </c>
      <c r="F31" s="8" t="s">
        <v>273</v>
      </c>
      <c r="G31" s="8" t="s">
        <v>274</v>
      </c>
      <c r="H31" s="8" t="s">
        <v>258</v>
      </c>
      <c r="I31" s="8" t="s">
        <v>267</v>
      </c>
      <c r="J31" s="8">
        <v>167188</v>
      </c>
      <c r="K31" s="8" t="s">
        <v>275</v>
      </c>
      <c r="L31" s="8" t="s">
        <v>102</v>
      </c>
      <c r="M31" s="8" t="s">
        <v>18</v>
      </c>
      <c r="N31" s="8">
        <v>167188</v>
      </c>
      <c r="O31" s="8">
        <v>20575</v>
      </c>
      <c r="P31" s="8">
        <v>1166</v>
      </c>
      <c r="Q31" s="8" t="s">
        <v>269</v>
      </c>
      <c r="R31" s="8">
        <v>82</v>
      </c>
      <c r="S31" s="8"/>
      <c r="T31" s="8">
        <v>826</v>
      </c>
      <c r="U31" s="8"/>
      <c r="V31" s="8">
        <v>340</v>
      </c>
      <c r="W31" s="8">
        <v>1166</v>
      </c>
      <c r="X31" s="8">
        <v>20575</v>
      </c>
      <c r="Y31" s="8">
        <v>4</v>
      </c>
      <c r="Z31" s="8">
        <v>22830</v>
      </c>
      <c r="AA31" s="8">
        <v>288</v>
      </c>
      <c r="AB31" s="8">
        <v>33972</v>
      </c>
      <c r="AC31" s="8" t="s">
        <v>103</v>
      </c>
      <c r="AD31" s="9" t="s">
        <v>261</v>
      </c>
      <c r="AE31" s="8">
        <v>718.5</v>
      </c>
      <c r="AF31" s="8">
        <v>106093</v>
      </c>
      <c r="AG31" s="8">
        <v>65907</v>
      </c>
      <c r="AH31" s="8">
        <v>172000</v>
      </c>
      <c r="AI31" s="8" t="s">
        <v>276</v>
      </c>
      <c r="AJ31" s="8" t="s">
        <v>106</v>
      </c>
      <c r="AK31" s="10">
        <v>45778</v>
      </c>
      <c r="AL31" s="8"/>
      <c r="AM31" s="8">
        <v>0</v>
      </c>
      <c r="AN31" s="8"/>
      <c r="AO31" s="20"/>
      <c r="AP31" s="20"/>
      <c r="AQ31" s="20"/>
      <c r="AR31" s="20"/>
      <c r="AS31" s="20"/>
      <c r="AT31" s="20"/>
      <c r="AU31" s="20"/>
      <c r="AV31" s="11">
        <f t="shared" si="0"/>
        <v>0</v>
      </c>
    </row>
    <row r="32" spans="1:48" ht="36" x14ac:dyDescent="0.25">
      <c r="A32" s="4" t="s">
        <v>155</v>
      </c>
      <c r="B32" s="4" t="s">
        <v>35</v>
      </c>
      <c r="C32" s="4" t="s">
        <v>15</v>
      </c>
      <c r="D32" s="4">
        <v>2</v>
      </c>
      <c r="E32" s="4"/>
      <c r="F32" s="4" t="s">
        <v>277</v>
      </c>
      <c r="G32" s="4" t="s">
        <v>278</v>
      </c>
      <c r="H32" s="4" t="s">
        <v>258</v>
      </c>
      <c r="I32" s="4"/>
      <c r="J32" s="4">
        <v>113310</v>
      </c>
      <c r="K32" s="4" t="s">
        <v>279</v>
      </c>
      <c r="L32" s="4" t="s">
        <v>102</v>
      </c>
      <c r="M32" s="4" t="s">
        <v>18</v>
      </c>
      <c r="N32" s="4"/>
      <c r="O32" s="4"/>
      <c r="P32" s="4"/>
      <c r="Q32" s="4"/>
      <c r="R32" s="4">
        <v>70</v>
      </c>
      <c r="S32" s="4"/>
      <c r="T32" s="4">
        <v>612</v>
      </c>
      <c r="U32" s="4"/>
      <c r="V32" s="4">
        <v>268</v>
      </c>
      <c r="W32" s="4">
        <v>880</v>
      </c>
      <c r="X32" s="4">
        <v>14511</v>
      </c>
      <c r="Y32" s="4">
        <v>3</v>
      </c>
      <c r="Z32" s="4">
        <v>17830</v>
      </c>
      <c r="AA32" s="4">
        <v>216</v>
      </c>
      <c r="AB32" s="4">
        <v>26998</v>
      </c>
      <c r="AC32" s="4" t="s">
        <v>159</v>
      </c>
      <c r="AD32" s="13" t="s">
        <v>261</v>
      </c>
      <c r="AE32" s="4"/>
      <c r="AF32" s="4"/>
      <c r="AG32" s="4"/>
      <c r="AH32" s="4"/>
      <c r="AI32" s="4"/>
      <c r="AJ32" s="4"/>
      <c r="AK32" s="4"/>
      <c r="AL32" s="4"/>
      <c r="AM32" s="4">
        <v>0</v>
      </c>
      <c r="AN32" s="4"/>
      <c r="AO32" s="20"/>
      <c r="AP32" s="20"/>
      <c r="AQ32" s="20"/>
      <c r="AR32" s="20"/>
      <c r="AS32" s="20"/>
      <c r="AT32" s="20"/>
      <c r="AU32" s="20"/>
      <c r="AV32" s="11" t="str">
        <f t="shared" si="0"/>
        <v>-</v>
      </c>
    </row>
    <row r="33" spans="1:48" ht="48" x14ac:dyDescent="0.25">
      <c r="A33" s="4" t="s">
        <v>155</v>
      </c>
      <c r="B33" s="4" t="s">
        <v>41</v>
      </c>
      <c r="C33" s="4" t="s">
        <v>23</v>
      </c>
      <c r="D33" s="4">
        <v>3</v>
      </c>
      <c r="E33" s="4"/>
      <c r="F33" s="4" t="s">
        <v>280</v>
      </c>
      <c r="G33" s="4" t="s">
        <v>281</v>
      </c>
      <c r="H33" s="4" t="s">
        <v>282</v>
      </c>
      <c r="I33" s="4"/>
      <c r="J33" s="4">
        <v>738949</v>
      </c>
      <c r="K33" s="4" t="s">
        <v>283</v>
      </c>
      <c r="L33" s="4" t="s">
        <v>102</v>
      </c>
      <c r="M33" s="4" t="s">
        <v>20</v>
      </c>
      <c r="N33" s="4"/>
      <c r="O33" s="4"/>
      <c r="P33" s="4"/>
      <c r="Q33" s="4"/>
      <c r="R33" s="4">
        <v>410</v>
      </c>
      <c r="S33" s="4"/>
      <c r="T33" s="4">
        <v>1753</v>
      </c>
      <c r="U33" s="4"/>
      <c r="V33" s="4">
        <v>1436</v>
      </c>
      <c r="W33" s="4">
        <v>3189</v>
      </c>
      <c r="X33" s="4">
        <v>82811</v>
      </c>
      <c r="Y33" s="4">
        <v>12</v>
      </c>
      <c r="Z33" s="4">
        <v>104728</v>
      </c>
      <c r="AA33" s="4">
        <v>1376</v>
      </c>
      <c r="AB33" s="4">
        <v>212851</v>
      </c>
      <c r="AC33" s="4" t="s">
        <v>208</v>
      </c>
      <c r="AD33" s="13" t="s">
        <v>284</v>
      </c>
      <c r="AE33" s="4"/>
      <c r="AF33" s="4"/>
      <c r="AG33" s="4"/>
      <c r="AH33" s="4"/>
      <c r="AI33" s="4"/>
      <c r="AJ33" s="4"/>
      <c r="AK33" s="4"/>
      <c r="AL33" s="4"/>
      <c r="AM33" s="4">
        <v>0</v>
      </c>
      <c r="AN33" s="4"/>
      <c r="AO33" s="20"/>
      <c r="AP33" s="20"/>
      <c r="AQ33" s="20"/>
      <c r="AR33" s="20"/>
      <c r="AS33" s="20"/>
      <c r="AT33" s="20"/>
      <c r="AU33" s="20"/>
      <c r="AV33" s="11" t="str">
        <f t="shared" si="0"/>
        <v>-</v>
      </c>
    </row>
    <row r="34" spans="1:48" ht="48" x14ac:dyDescent="0.25">
      <c r="A34" s="4" t="s">
        <v>155</v>
      </c>
      <c r="B34" s="4" t="s">
        <v>37</v>
      </c>
      <c r="C34" s="4" t="s">
        <v>23</v>
      </c>
      <c r="D34" s="4">
        <v>3</v>
      </c>
      <c r="E34" s="4"/>
      <c r="F34" s="4" t="s">
        <v>285</v>
      </c>
      <c r="G34" s="4" t="s">
        <v>286</v>
      </c>
      <c r="H34" s="4" t="s">
        <v>282</v>
      </c>
      <c r="I34" s="4"/>
      <c r="J34" s="4">
        <v>157100</v>
      </c>
      <c r="K34" s="4" t="s">
        <v>287</v>
      </c>
      <c r="L34" s="4" t="s">
        <v>102</v>
      </c>
      <c r="M34" s="4" t="s">
        <v>22</v>
      </c>
      <c r="N34" s="4"/>
      <c r="O34" s="4"/>
      <c r="P34" s="4"/>
      <c r="Q34" s="4"/>
      <c r="R34" s="4">
        <v>14</v>
      </c>
      <c r="S34" s="4">
        <v>0</v>
      </c>
      <c r="T34" s="4">
        <v>464</v>
      </c>
      <c r="U34" s="4"/>
      <c r="V34" s="4">
        <v>886</v>
      </c>
      <c r="W34" s="4">
        <v>1350</v>
      </c>
      <c r="X34" s="4">
        <v>22318</v>
      </c>
      <c r="Y34" s="4">
        <v>6</v>
      </c>
      <c r="Z34" s="4">
        <v>67734</v>
      </c>
      <c r="AA34" s="4">
        <v>656</v>
      </c>
      <c r="AB34" s="4">
        <v>75241</v>
      </c>
      <c r="AC34" s="4" t="s">
        <v>288</v>
      </c>
      <c r="AD34" s="13" t="s">
        <v>114</v>
      </c>
      <c r="AE34" s="4"/>
      <c r="AF34" s="4"/>
      <c r="AG34" s="4"/>
      <c r="AH34" s="4"/>
      <c r="AI34" s="4"/>
      <c r="AJ34" s="4"/>
      <c r="AK34" s="4"/>
      <c r="AL34" s="4"/>
      <c r="AM34" s="4">
        <v>0</v>
      </c>
      <c r="AN34" s="4"/>
      <c r="AO34" s="20"/>
      <c r="AP34" s="20"/>
      <c r="AQ34" s="20"/>
      <c r="AR34" s="20"/>
      <c r="AS34" s="20"/>
      <c r="AT34" s="20"/>
      <c r="AU34" s="20"/>
      <c r="AV34" s="11" t="str">
        <f t="shared" ref="AV34:AV65" si="1">IF(A34="Awarded",IFERROR((N34-J34)/J34,"-"),"-")</f>
        <v>-</v>
      </c>
    </row>
    <row r="35" spans="1:48" ht="48" x14ac:dyDescent="0.25">
      <c r="A35" s="4" t="s">
        <v>155</v>
      </c>
      <c r="B35" s="4" t="s">
        <v>35</v>
      </c>
      <c r="C35" s="4" t="s">
        <v>17</v>
      </c>
      <c r="D35" s="4">
        <v>3</v>
      </c>
      <c r="E35" s="4"/>
      <c r="F35" s="4" t="s">
        <v>289</v>
      </c>
      <c r="G35" s="4" t="s">
        <v>290</v>
      </c>
      <c r="H35" s="4" t="s">
        <v>291</v>
      </c>
      <c r="I35" s="4"/>
      <c r="J35" s="4">
        <v>9367000</v>
      </c>
      <c r="K35" s="4" t="s">
        <v>292</v>
      </c>
      <c r="L35" s="4" t="s">
        <v>102</v>
      </c>
      <c r="M35" s="4" t="s">
        <v>14</v>
      </c>
      <c r="N35" s="4"/>
      <c r="O35" s="4"/>
      <c r="P35" s="4"/>
      <c r="Q35" s="4"/>
      <c r="R35" s="4">
        <v>13286</v>
      </c>
      <c r="S35" s="4">
        <v>181334</v>
      </c>
      <c r="T35" s="4">
        <v>24494</v>
      </c>
      <c r="U35" s="4"/>
      <c r="V35" s="4">
        <v>9666</v>
      </c>
      <c r="W35" s="4">
        <v>34160</v>
      </c>
      <c r="X35" s="4">
        <v>720000</v>
      </c>
      <c r="Y35" s="4">
        <v>34</v>
      </c>
      <c r="Z35" s="4">
        <v>638321</v>
      </c>
      <c r="AA35" s="4">
        <v>5440</v>
      </c>
      <c r="AB35" s="4">
        <v>1493143</v>
      </c>
      <c r="AC35" s="4" t="s">
        <v>153</v>
      </c>
      <c r="AD35" s="13" t="s">
        <v>293</v>
      </c>
      <c r="AE35" s="4"/>
      <c r="AF35" s="4"/>
      <c r="AG35" s="4"/>
      <c r="AH35" s="4"/>
      <c r="AI35" s="4"/>
      <c r="AJ35" s="4"/>
      <c r="AK35" s="4"/>
      <c r="AL35" s="4"/>
      <c r="AM35" s="4">
        <v>0</v>
      </c>
      <c r="AN35" s="4"/>
      <c r="AO35" s="20"/>
      <c r="AP35" s="20"/>
      <c r="AQ35" s="20"/>
      <c r="AR35" s="20"/>
      <c r="AS35" s="20"/>
      <c r="AT35" s="20"/>
      <c r="AU35" s="20"/>
      <c r="AV35" s="11" t="str">
        <f t="shared" si="1"/>
        <v>-</v>
      </c>
    </row>
    <row r="36" spans="1:48" ht="36" x14ac:dyDescent="0.25">
      <c r="A36" s="4" t="s">
        <v>155</v>
      </c>
      <c r="B36" s="4" t="s">
        <v>37</v>
      </c>
      <c r="C36" s="4" t="s">
        <v>31</v>
      </c>
      <c r="D36" s="4">
        <v>3</v>
      </c>
      <c r="E36" s="4"/>
      <c r="F36" s="4" t="s">
        <v>294</v>
      </c>
      <c r="G36" s="4" t="s">
        <v>295</v>
      </c>
      <c r="H36" s="4" t="s">
        <v>296</v>
      </c>
      <c r="I36" s="4"/>
      <c r="J36" s="4">
        <v>3317000</v>
      </c>
      <c r="K36" s="4" t="s">
        <v>297</v>
      </c>
      <c r="L36" s="4" t="s">
        <v>102</v>
      </c>
      <c r="M36" s="4" t="s">
        <v>16</v>
      </c>
      <c r="N36" s="4"/>
      <c r="O36" s="4"/>
      <c r="P36" s="4"/>
      <c r="Q36" s="4"/>
      <c r="R36" s="4">
        <v>6726</v>
      </c>
      <c r="S36" s="4">
        <v>237000</v>
      </c>
      <c r="T36" s="4">
        <v>15836</v>
      </c>
      <c r="U36" s="4"/>
      <c r="V36" s="4">
        <v>3518</v>
      </c>
      <c r="W36" s="4">
        <v>19354</v>
      </c>
      <c r="X36" s="4">
        <v>322266</v>
      </c>
      <c r="Y36" s="4">
        <v>19</v>
      </c>
      <c r="Z36" s="4">
        <v>259862</v>
      </c>
      <c r="AA36" s="4">
        <v>2792</v>
      </c>
      <c r="AB36" s="4">
        <v>334381</v>
      </c>
      <c r="AC36" s="4" t="s">
        <v>197</v>
      </c>
      <c r="AD36" s="13" t="s">
        <v>298</v>
      </c>
      <c r="AE36" s="4"/>
      <c r="AF36" s="4"/>
      <c r="AG36" s="4"/>
      <c r="AH36" s="4"/>
      <c r="AI36" s="4"/>
      <c r="AJ36" s="4"/>
      <c r="AK36" s="4"/>
      <c r="AL36" s="4"/>
      <c r="AM36" s="4">
        <v>0</v>
      </c>
      <c r="AN36" s="4"/>
      <c r="AO36" s="20"/>
      <c r="AP36" s="20"/>
      <c r="AQ36" s="20"/>
      <c r="AR36" s="20"/>
      <c r="AS36" s="20"/>
      <c r="AT36" s="20"/>
      <c r="AU36" s="20"/>
      <c r="AV36" s="11" t="str">
        <f t="shared" si="1"/>
        <v>-</v>
      </c>
    </row>
    <row r="37" spans="1:48" ht="24" x14ac:dyDescent="0.25">
      <c r="A37" s="4" t="s">
        <v>155</v>
      </c>
      <c r="B37" s="4" t="s">
        <v>35</v>
      </c>
      <c r="C37" s="4" t="s">
        <v>15</v>
      </c>
      <c r="D37" s="4">
        <v>4</v>
      </c>
      <c r="E37" s="4"/>
      <c r="F37" s="4" t="s">
        <v>299</v>
      </c>
      <c r="G37" s="4" t="s">
        <v>300</v>
      </c>
      <c r="H37" s="4" t="s">
        <v>301</v>
      </c>
      <c r="I37" s="4"/>
      <c r="J37" s="4">
        <v>449000</v>
      </c>
      <c r="K37" s="4" t="s">
        <v>151</v>
      </c>
      <c r="L37" s="4" t="s">
        <v>102</v>
      </c>
      <c r="M37" s="4" t="s">
        <v>14</v>
      </c>
      <c r="N37" s="4"/>
      <c r="O37" s="4"/>
      <c r="P37" s="4"/>
      <c r="Q37" s="4"/>
      <c r="R37" s="4">
        <v>563</v>
      </c>
      <c r="S37" s="4">
        <v>26000</v>
      </c>
      <c r="T37" s="4">
        <v>1515</v>
      </c>
      <c r="U37" s="4"/>
      <c r="V37" s="4">
        <v>1072</v>
      </c>
      <c r="W37" s="4">
        <v>2587</v>
      </c>
      <c r="X37" s="4">
        <v>42000</v>
      </c>
      <c r="Y37" s="4">
        <v>6</v>
      </c>
      <c r="Z37" s="4">
        <v>83906</v>
      </c>
      <c r="AA37" s="4">
        <v>672</v>
      </c>
      <c r="AB37" s="4">
        <v>83906</v>
      </c>
      <c r="AC37" s="4" t="s">
        <v>174</v>
      </c>
      <c r="AD37" s="13" t="s">
        <v>302</v>
      </c>
      <c r="AE37" s="4"/>
      <c r="AF37" s="4"/>
      <c r="AG37" s="4"/>
      <c r="AH37" s="4"/>
      <c r="AI37" s="4"/>
      <c r="AJ37" s="4"/>
      <c r="AK37" s="4"/>
      <c r="AL37" s="4"/>
      <c r="AM37" s="4">
        <v>0</v>
      </c>
      <c r="AN37" s="4"/>
      <c r="AO37" s="20"/>
      <c r="AP37" s="20"/>
      <c r="AQ37" s="20"/>
      <c r="AR37" s="20"/>
      <c r="AS37" s="20"/>
      <c r="AT37" s="20"/>
      <c r="AU37" s="20"/>
      <c r="AV37" s="11" t="str">
        <f t="shared" si="1"/>
        <v>-</v>
      </c>
    </row>
    <row r="38" spans="1:48" ht="72" x14ac:dyDescent="0.25">
      <c r="A38" s="4" t="s">
        <v>155</v>
      </c>
      <c r="B38" s="4" t="s">
        <v>37</v>
      </c>
      <c r="C38" s="4" t="s">
        <v>31</v>
      </c>
      <c r="D38" s="4">
        <v>4</v>
      </c>
      <c r="E38" s="4"/>
      <c r="F38" s="4" t="s">
        <v>303</v>
      </c>
      <c r="G38" s="4" t="s">
        <v>304</v>
      </c>
      <c r="H38" s="4" t="s">
        <v>301</v>
      </c>
      <c r="I38" s="4"/>
      <c r="J38" s="4">
        <v>237000</v>
      </c>
      <c r="K38" s="4" t="s">
        <v>305</v>
      </c>
      <c r="L38" s="4" t="s">
        <v>102</v>
      </c>
      <c r="M38" s="4" t="s">
        <v>14</v>
      </c>
      <c r="N38" s="4"/>
      <c r="O38" s="4"/>
      <c r="P38" s="4"/>
      <c r="Q38" s="4"/>
      <c r="R38" s="4">
        <v>100</v>
      </c>
      <c r="S38" s="4">
        <v>0</v>
      </c>
      <c r="T38" s="4">
        <v>827</v>
      </c>
      <c r="U38" s="4"/>
      <c r="V38" s="4">
        <v>528</v>
      </c>
      <c r="W38" s="4">
        <v>1355</v>
      </c>
      <c r="X38" s="4">
        <v>25000</v>
      </c>
      <c r="Y38" s="4">
        <v>4</v>
      </c>
      <c r="Z38" s="4">
        <v>34446</v>
      </c>
      <c r="AA38" s="4">
        <v>416</v>
      </c>
      <c r="AB38" s="4">
        <v>49586</v>
      </c>
      <c r="AC38" s="4" t="s">
        <v>306</v>
      </c>
      <c r="AD38" s="13" t="s">
        <v>307</v>
      </c>
      <c r="AE38" s="4"/>
      <c r="AF38" s="4"/>
      <c r="AG38" s="4"/>
      <c r="AH38" s="4"/>
      <c r="AI38" s="4"/>
      <c r="AJ38" s="4"/>
      <c r="AK38" s="4"/>
      <c r="AL38" s="4"/>
      <c r="AM38" s="4">
        <v>0</v>
      </c>
      <c r="AN38" s="4"/>
      <c r="AO38" s="20"/>
      <c r="AP38" s="20"/>
      <c r="AQ38" s="20"/>
      <c r="AR38" s="20"/>
      <c r="AS38" s="20"/>
      <c r="AT38" s="20"/>
      <c r="AU38" s="20"/>
      <c r="AV38" s="11" t="str">
        <f t="shared" si="1"/>
        <v>-</v>
      </c>
    </row>
    <row r="39" spans="1:48" ht="48" x14ac:dyDescent="0.25">
      <c r="A39" s="8" t="s">
        <v>2</v>
      </c>
      <c r="B39" s="8" t="s">
        <v>35</v>
      </c>
      <c r="C39" s="8" t="s">
        <v>15</v>
      </c>
      <c r="D39" s="8">
        <v>4</v>
      </c>
      <c r="E39" s="8" t="s">
        <v>308</v>
      </c>
      <c r="F39" s="8" t="s">
        <v>309</v>
      </c>
      <c r="G39" s="8" t="s">
        <v>310</v>
      </c>
      <c r="H39" s="8" t="s">
        <v>301</v>
      </c>
      <c r="I39" s="8" t="s">
        <v>311</v>
      </c>
      <c r="J39" s="8">
        <v>543000</v>
      </c>
      <c r="K39" s="8" t="s">
        <v>151</v>
      </c>
      <c r="L39" s="8" t="s">
        <v>102</v>
      </c>
      <c r="M39" s="8" t="s">
        <v>14</v>
      </c>
      <c r="N39" s="8">
        <v>543000</v>
      </c>
      <c r="O39" s="8">
        <v>50000</v>
      </c>
      <c r="P39" s="8">
        <v>2993</v>
      </c>
      <c r="Q39" s="8"/>
      <c r="R39" s="8">
        <v>563</v>
      </c>
      <c r="S39" s="8">
        <v>65000</v>
      </c>
      <c r="T39" s="8">
        <v>2561</v>
      </c>
      <c r="U39" s="8"/>
      <c r="V39" s="8">
        <v>432</v>
      </c>
      <c r="W39" s="8">
        <v>2993</v>
      </c>
      <c r="X39" s="8">
        <v>50000</v>
      </c>
      <c r="Y39" s="8">
        <v>4</v>
      </c>
      <c r="Z39" s="8">
        <v>26361</v>
      </c>
      <c r="AA39" s="8">
        <v>232</v>
      </c>
      <c r="AB39" s="8">
        <v>37940</v>
      </c>
      <c r="AC39" s="8" t="s">
        <v>312</v>
      </c>
      <c r="AD39" s="9" t="s">
        <v>313</v>
      </c>
      <c r="AE39" s="8">
        <v>3013.5</v>
      </c>
      <c r="AF39" s="8">
        <v>565850</v>
      </c>
      <c r="AG39" s="8">
        <v>87282</v>
      </c>
      <c r="AH39" s="8">
        <v>653132</v>
      </c>
      <c r="AI39" s="8" t="s">
        <v>314</v>
      </c>
      <c r="AJ39" s="8" t="s">
        <v>106</v>
      </c>
      <c r="AK39" s="10">
        <v>45778</v>
      </c>
      <c r="AL39" s="8"/>
      <c r="AM39" s="8">
        <v>0</v>
      </c>
      <c r="AN39" s="8"/>
      <c r="AO39" s="20"/>
      <c r="AP39" s="20"/>
      <c r="AQ39" s="20"/>
      <c r="AR39" s="20"/>
      <c r="AS39" s="20"/>
      <c r="AT39" s="20"/>
      <c r="AU39" s="20"/>
      <c r="AV39" s="11">
        <f t="shared" si="1"/>
        <v>0</v>
      </c>
    </row>
    <row r="40" spans="1:48" ht="60" x14ac:dyDescent="0.25">
      <c r="A40" s="4" t="s">
        <v>155</v>
      </c>
      <c r="B40" s="4" t="s">
        <v>35</v>
      </c>
      <c r="C40" s="4" t="s">
        <v>25</v>
      </c>
      <c r="D40" s="4">
        <v>4</v>
      </c>
      <c r="E40" s="4"/>
      <c r="F40" s="4" t="s">
        <v>315</v>
      </c>
      <c r="G40" s="4" t="s">
        <v>316</v>
      </c>
      <c r="H40" s="4" t="s">
        <v>301</v>
      </c>
      <c r="I40" s="4"/>
      <c r="J40" s="4">
        <v>166922</v>
      </c>
      <c r="K40" s="4" t="s">
        <v>138</v>
      </c>
      <c r="L40" s="4" t="s">
        <v>102</v>
      </c>
      <c r="M40" s="4" t="s">
        <v>18</v>
      </c>
      <c r="N40" s="4"/>
      <c r="O40" s="4"/>
      <c r="P40" s="4"/>
      <c r="Q40" s="4"/>
      <c r="R40" s="4">
        <v>144</v>
      </c>
      <c r="S40" s="4">
        <v>4715</v>
      </c>
      <c r="T40" s="4">
        <v>815</v>
      </c>
      <c r="U40" s="4"/>
      <c r="V40" s="4">
        <v>284</v>
      </c>
      <c r="W40" s="4">
        <v>1099</v>
      </c>
      <c r="X40" s="4">
        <v>24089</v>
      </c>
      <c r="Y40" s="4">
        <v>4</v>
      </c>
      <c r="Z40" s="4">
        <v>19826</v>
      </c>
      <c r="AA40" s="4">
        <v>224</v>
      </c>
      <c r="AB40" s="4">
        <v>19826</v>
      </c>
      <c r="AC40" s="4" t="s">
        <v>170</v>
      </c>
      <c r="AD40" s="13" t="s">
        <v>122</v>
      </c>
      <c r="AE40" s="4"/>
      <c r="AF40" s="4"/>
      <c r="AG40" s="4"/>
      <c r="AH40" s="4"/>
      <c r="AI40" s="4"/>
      <c r="AJ40" s="4"/>
      <c r="AK40" s="4"/>
      <c r="AL40" s="4"/>
      <c r="AM40" s="4">
        <v>0</v>
      </c>
      <c r="AN40" s="4"/>
      <c r="AO40" s="20"/>
      <c r="AP40" s="20"/>
      <c r="AQ40" s="20"/>
      <c r="AR40" s="20"/>
      <c r="AS40" s="20"/>
      <c r="AT40" s="20"/>
      <c r="AU40" s="20"/>
      <c r="AV40" s="11" t="str">
        <f t="shared" si="1"/>
        <v>-</v>
      </c>
    </row>
    <row r="41" spans="1:48" ht="36" x14ac:dyDescent="0.25">
      <c r="A41" s="4" t="s">
        <v>155</v>
      </c>
      <c r="B41" s="4" t="s">
        <v>35</v>
      </c>
      <c r="C41" s="4" t="s">
        <v>15</v>
      </c>
      <c r="D41" s="4">
        <v>4</v>
      </c>
      <c r="E41" s="4"/>
      <c r="F41" s="4" t="s">
        <v>317</v>
      </c>
      <c r="G41" s="4" t="s">
        <v>318</v>
      </c>
      <c r="H41" s="4" t="s">
        <v>319</v>
      </c>
      <c r="I41" s="4"/>
      <c r="J41" s="4">
        <v>357402</v>
      </c>
      <c r="K41" s="4" t="s">
        <v>320</v>
      </c>
      <c r="L41" s="4" t="s">
        <v>102</v>
      </c>
      <c r="M41" s="4" t="s">
        <v>18</v>
      </c>
      <c r="N41" s="4"/>
      <c r="O41" s="4"/>
      <c r="P41" s="4"/>
      <c r="Q41" s="4" t="s">
        <v>321</v>
      </c>
      <c r="R41" s="4">
        <v>141</v>
      </c>
      <c r="S41" s="4">
        <v>2295</v>
      </c>
      <c r="T41" s="4">
        <v>1449</v>
      </c>
      <c r="U41" s="4"/>
      <c r="V41" s="4">
        <v>536</v>
      </c>
      <c r="W41" s="4">
        <v>1985</v>
      </c>
      <c r="X41" s="4">
        <v>32365</v>
      </c>
      <c r="Y41" s="4">
        <v>6</v>
      </c>
      <c r="Z41" s="4">
        <v>35299</v>
      </c>
      <c r="AA41" s="4">
        <v>496</v>
      </c>
      <c r="AB41" s="4">
        <v>54756</v>
      </c>
      <c r="AC41" s="4" t="s">
        <v>204</v>
      </c>
      <c r="AD41" s="13" t="s">
        <v>261</v>
      </c>
      <c r="AE41" s="4"/>
      <c r="AF41" s="4"/>
      <c r="AG41" s="4"/>
      <c r="AH41" s="4"/>
      <c r="AI41" s="4"/>
      <c r="AJ41" s="4"/>
      <c r="AK41" s="4"/>
      <c r="AL41" s="4"/>
      <c r="AM41" s="4">
        <v>0</v>
      </c>
      <c r="AN41" s="4"/>
      <c r="AO41" s="20"/>
      <c r="AP41" s="20"/>
      <c r="AQ41" s="20"/>
      <c r="AR41" s="20"/>
      <c r="AS41" s="20"/>
      <c r="AT41" s="20"/>
      <c r="AU41" s="20"/>
      <c r="AV41" s="11" t="str">
        <f t="shared" si="1"/>
        <v>-</v>
      </c>
    </row>
    <row r="42" spans="1:48" ht="36" x14ac:dyDescent="0.25">
      <c r="A42" s="8" t="s">
        <v>2</v>
      </c>
      <c r="B42" s="8" t="s">
        <v>35</v>
      </c>
      <c r="C42" s="8" t="s">
        <v>15</v>
      </c>
      <c r="D42" s="8">
        <v>4</v>
      </c>
      <c r="E42" s="8" t="s">
        <v>322</v>
      </c>
      <c r="F42" s="8" t="s">
        <v>323</v>
      </c>
      <c r="G42" s="8" t="s">
        <v>324</v>
      </c>
      <c r="H42" s="8" t="s">
        <v>319</v>
      </c>
      <c r="I42" s="8" t="s">
        <v>259</v>
      </c>
      <c r="J42" s="8">
        <v>547000</v>
      </c>
      <c r="K42" s="8" t="s">
        <v>325</v>
      </c>
      <c r="L42" s="8" t="s">
        <v>102</v>
      </c>
      <c r="M42" s="8" t="s">
        <v>18</v>
      </c>
      <c r="N42" s="8">
        <v>174000</v>
      </c>
      <c r="O42" s="8">
        <v>17567</v>
      </c>
      <c r="P42" s="8">
        <v>1054</v>
      </c>
      <c r="Q42" s="8" t="s">
        <v>326</v>
      </c>
      <c r="R42" s="8">
        <v>84</v>
      </c>
      <c r="S42" s="8">
        <v>1322</v>
      </c>
      <c r="T42" s="8">
        <v>1702</v>
      </c>
      <c r="U42" s="8"/>
      <c r="V42" s="8">
        <v>568</v>
      </c>
      <c r="W42" s="8">
        <v>2270</v>
      </c>
      <c r="X42" s="8">
        <v>49799</v>
      </c>
      <c r="Y42" s="8">
        <v>8</v>
      </c>
      <c r="Z42" s="8">
        <v>38979</v>
      </c>
      <c r="AA42" s="8">
        <v>528</v>
      </c>
      <c r="AB42" s="8">
        <v>96583</v>
      </c>
      <c r="AC42" s="8" t="s">
        <v>113</v>
      </c>
      <c r="AD42" s="9" t="s">
        <v>261</v>
      </c>
      <c r="AE42" s="8">
        <v>928.5</v>
      </c>
      <c r="AF42" s="8">
        <v>106839</v>
      </c>
      <c r="AG42" s="8">
        <v>83886</v>
      </c>
      <c r="AH42" s="8">
        <v>190725</v>
      </c>
      <c r="AI42" s="8" t="s">
        <v>327</v>
      </c>
      <c r="AJ42" s="8" t="s">
        <v>263</v>
      </c>
      <c r="AK42" s="10">
        <v>45778</v>
      </c>
      <c r="AL42" s="10">
        <v>45901</v>
      </c>
      <c r="AM42" s="8">
        <v>17</v>
      </c>
      <c r="AN42" s="8"/>
      <c r="AO42" s="20"/>
      <c r="AP42" s="20"/>
      <c r="AQ42" s="20"/>
      <c r="AR42" s="20"/>
      <c r="AS42" s="20"/>
      <c r="AT42" s="20"/>
      <c r="AU42" s="20"/>
      <c r="AV42" s="11">
        <f t="shared" si="1"/>
        <v>-0.68190127970749548</v>
      </c>
    </row>
    <row r="43" spans="1:48" ht="36" x14ac:dyDescent="0.25">
      <c r="A43" s="4" t="s">
        <v>155</v>
      </c>
      <c r="B43" s="4" t="s">
        <v>35</v>
      </c>
      <c r="C43" s="4" t="s">
        <v>15</v>
      </c>
      <c r="D43" s="4">
        <v>4</v>
      </c>
      <c r="E43" s="4"/>
      <c r="F43" s="4" t="s">
        <v>328</v>
      </c>
      <c r="G43" s="4" t="s">
        <v>329</v>
      </c>
      <c r="H43" s="4" t="s">
        <v>319</v>
      </c>
      <c r="I43" s="4"/>
      <c r="J43" s="4">
        <v>77262</v>
      </c>
      <c r="K43" s="4" t="s">
        <v>330</v>
      </c>
      <c r="L43" s="4" t="s">
        <v>102</v>
      </c>
      <c r="M43" s="4" t="s">
        <v>18</v>
      </c>
      <c r="N43" s="4"/>
      <c r="O43" s="4"/>
      <c r="P43" s="4"/>
      <c r="Q43" s="4" t="s">
        <v>331</v>
      </c>
      <c r="R43" s="4">
        <v>10</v>
      </c>
      <c r="S43" s="4">
        <v>87</v>
      </c>
      <c r="T43" s="4">
        <v>276</v>
      </c>
      <c r="U43" s="4"/>
      <c r="V43" s="4">
        <v>108</v>
      </c>
      <c r="W43" s="4">
        <v>384</v>
      </c>
      <c r="X43" s="4">
        <v>7289</v>
      </c>
      <c r="Y43" s="4">
        <v>2</v>
      </c>
      <c r="Z43" s="4">
        <v>7144</v>
      </c>
      <c r="AA43" s="4">
        <v>80</v>
      </c>
      <c r="AB43" s="4">
        <v>21538</v>
      </c>
      <c r="AC43" s="4" t="s">
        <v>332</v>
      </c>
      <c r="AD43" s="13" t="s">
        <v>261</v>
      </c>
      <c r="AE43" s="4"/>
      <c r="AF43" s="4"/>
      <c r="AG43" s="4"/>
      <c r="AH43" s="4"/>
      <c r="AI43" s="4"/>
      <c r="AJ43" s="4"/>
      <c r="AK43" s="4"/>
      <c r="AL43" s="4"/>
      <c r="AM43" s="4">
        <v>0</v>
      </c>
      <c r="AN43" s="4"/>
      <c r="AO43" s="20"/>
      <c r="AP43" s="20"/>
      <c r="AQ43" s="20"/>
      <c r="AR43" s="20"/>
      <c r="AS43" s="20"/>
      <c r="AT43" s="20"/>
      <c r="AU43" s="20"/>
      <c r="AV43" s="11" t="str">
        <f t="shared" si="1"/>
        <v>-</v>
      </c>
    </row>
    <row r="44" spans="1:48" ht="36" x14ac:dyDescent="0.25">
      <c r="A44" s="4" t="s">
        <v>155</v>
      </c>
      <c r="B44" s="4" t="s">
        <v>35</v>
      </c>
      <c r="C44" s="4" t="s">
        <v>15</v>
      </c>
      <c r="D44" s="4">
        <v>4</v>
      </c>
      <c r="E44" s="4"/>
      <c r="F44" s="4" t="s">
        <v>333</v>
      </c>
      <c r="G44" s="4" t="s">
        <v>334</v>
      </c>
      <c r="H44" s="4" t="s">
        <v>319</v>
      </c>
      <c r="I44" s="4"/>
      <c r="J44" s="4">
        <v>71293</v>
      </c>
      <c r="K44" s="4" t="s">
        <v>330</v>
      </c>
      <c r="L44" s="4" t="s">
        <v>102</v>
      </c>
      <c r="M44" s="4" t="s">
        <v>18</v>
      </c>
      <c r="N44" s="4"/>
      <c r="O44" s="4"/>
      <c r="P44" s="4"/>
      <c r="Q44" s="4" t="s">
        <v>331</v>
      </c>
      <c r="R44" s="4">
        <v>7</v>
      </c>
      <c r="S44" s="4">
        <v>87</v>
      </c>
      <c r="T44" s="4">
        <v>246</v>
      </c>
      <c r="U44" s="4"/>
      <c r="V44" s="4">
        <v>98</v>
      </c>
      <c r="W44" s="4">
        <v>344</v>
      </c>
      <c r="X44" s="4">
        <v>6627</v>
      </c>
      <c r="Y44" s="4">
        <v>2</v>
      </c>
      <c r="Z44" s="4">
        <v>6579</v>
      </c>
      <c r="AA44" s="4">
        <v>80</v>
      </c>
      <c r="AB44" s="4">
        <v>22433</v>
      </c>
      <c r="AC44" s="4" t="s">
        <v>189</v>
      </c>
      <c r="AD44" s="13" t="s">
        <v>261</v>
      </c>
      <c r="AE44" s="4"/>
      <c r="AF44" s="4"/>
      <c r="AG44" s="4"/>
      <c r="AH44" s="4"/>
      <c r="AI44" s="4"/>
      <c r="AJ44" s="4"/>
      <c r="AK44" s="4"/>
      <c r="AL44" s="4"/>
      <c r="AM44" s="4">
        <v>0</v>
      </c>
      <c r="AN44" s="4"/>
      <c r="AO44" s="20"/>
      <c r="AP44" s="20"/>
      <c r="AQ44" s="20"/>
      <c r="AR44" s="20"/>
      <c r="AS44" s="20"/>
      <c r="AT44" s="20"/>
      <c r="AU44" s="20"/>
      <c r="AV44" s="11" t="str">
        <f t="shared" si="1"/>
        <v>-</v>
      </c>
    </row>
    <row r="45" spans="1:48" ht="24" x14ac:dyDescent="0.25">
      <c r="A45" s="4" t="s">
        <v>155</v>
      </c>
      <c r="B45" s="4" t="s">
        <v>35</v>
      </c>
      <c r="C45" s="4" t="s">
        <v>15</v>
      </c>
      <c r="D45" s="4">
        <v>4</v>
      </c>
      <c r="E45" s="4"/>
      <c r="F45" s="4" t="s">
        <v>335</v>
      </c>
      <c r="G45" s="4" t="s">
        <v>336</v>
      </c>
      <c r="H45" s="4" t="s">
        <v>337</v>
      </c>
      <c r="I45" s="4"/>
      <c r="J45" s="4">
        <v>5579000</v>
      </c>
      <c r="K45" s="4" t="s">
        <v>338</v>
      </c>
      <c r="L45" s="4" t="s">
        <v>102</v>
      </c>
      <c r="M45" s="4" t="s">
        <v>22</v>
      </c>
      <c r="N45" s="4"/>
      <c r="O45" s="4"/>
      <c r="P45" s="4"/>
      <c r="Q45" s="4"/>
      <c r="R45" s="4">
        <v>5102</v>
      </c>
      <c r="S45" s="4">
        <v>33123</v>
      </c>
      <c r="T45" s="4">
        <v>17832</v>
      </c>
      <c r="U45" s="4"/>
      <c r="V45" s="4">
        <v>8124</v>
      </c>
      <c r="W45" s="4">
        <v>25956</v>
      </c>
      <c r="X45" s="4">
        <v>502354</v>
      </c>
      <c r="Y45" s="4">
        <v>34</v>
      </c>
      <c r="Z45" s="4">
        <v>605281</v>
      </c>
      <c r="AA45" s="4">
        <v>11120</v>
      </c>
      <c r="AB45" s="4">
        <v>890723</v>
      </c>
      <c r="AC45" s="4" t="s">
        <v>153</v>
      </c>
      <c r="AD45" s="13" t="s">
        <v>339</v>
      </c>
      <c r="AE45" s="4"/>
      <c r="AF45" s="4"/>
      <c r="AG45" s="4"/>
      <c r="AH45" s="4"/>
      <c r="AI45" s="4"/>
      <c r="AJ45" s="4"/>
      <c r="AK45" s="4"/>
      <c r="AL45" s="4"/>
      <c r="AM45" s="4">
        <v>0</v>
      </c>
      <c r="AN45" s="4">
        <v>335235</v>
      </c>
      <c r="AO45" s="20"/>
      <c r="AP45" s="20"/>
      <c r="AQ45" s="20"/>
      <c r="AR45" s="20"/>
      <c r="AS45" s="20"/>
      <c r="AT45" s="20"/>
      <c r="AU45" s="20"/>
      <c r="AV45" s="11" t="str">
        <f t="shared" si="1"/>
        <v>-</v>
      </c>
    </row>
    <row r="46" spans="1:48" ht="60" x14ac:dyDescent="0.25">
      <c r="A46" s="4" t="s">
        <v>155</v>
      </c>
      <c r="B46" s="4" t="s">
        <v>35</v>
      </c>
      <c r="C46" s="4" t="s">
        <v>15</v>
      </c>
      <c r="D46" s="4">
        <v>4</v>
      </c>
      <c r="E46" s="4"/>
      <c r="F46" s="4" t="s">
        <v>340</v>
      </c>
      <c r="G46" s="4" t="s">
        <v>341</v>
      </c>
      <c r="H46" s="4" t="s">
        <v>342</v>
      </c>
      <c r="I46" s="4"/>
      <c r="J46" s="4">
        <v>17021</v>
      </c>
      <c r="K46" s="4" t="s">
        <v>343</v>
      </c>
      <c r="L46" s="4" t="s">
        <v>102</v>
      </c>
      <c r="M46" s="4" t="s">
        <v>18</v>
      </c>
      <c r="N46" s="4"/>
      <c r="O46" s="4"/>
      <c r="P46" s="4"/>
      <c r="Q46" s="4" t="s">
        <v>344</v>
      </c>
      <c r="R46" s="4">
        <v>4</v>
      </c>
      <c r="S46" s="4">
        <v>124</v>
      </c>
      <c r="T46" s="4">
        <v>56</v>
      </c>
      <c r="U46" s="4"/>
      <c r="V46" s="4">
        <v>40</v>
      </c>
      <c r="W46" s="4">
        <v>96</v>
      </c>
      <c r="X46" s="4">
        <v>1678</v>
      </c>
      <c r="Y46" s="4">
        <v>1</v>
      </c>
      <c r="Z46" s="4">
        <v>2284</v>
      </c>
      <c r="AA46" s="4">
        <v>16</v>
      </c>
      <c r="AB46" s="4">
        <v>9307</v>
      </c>
      <c r="AC46" s="4" t="s">
        <v>345</v>
      </c>
      <c r="AD46" s="13" t="s">
        <v>346</v>
      </c>
      <c r="AE46" s="4"/>
      <c r="AF46" s="4"/>
      <c r="AG46" s="4"/>
      <c r="AH46" s="4"/>
      <c r="AI46" s="4"/>
      <c r="AJ46" s="4"/>
      <c r="AK46" s="4"/>
      <c r="AL46" s="4"/>
      <c r="AM46" s="4">
        <v>0</v>
      </c>
      <c r="AN46" s="4"/>
      <c r="AO46" s="20"/>
      <c r="AP46" s="20"/>
      <c r="AQ46" s="20"/>
      <c r="AR46" s="20"/>
      <c r="AS46" s="20"/>
      <c r="AT46" s="20"/>
      <c r="AU46" s="20"/>
      <c r="AV46" s="11" t="str">
        <f t="shared" si="1"/>
        <v>-</v>
      </c>
    </row>
    <row r="47" spans="1:48" ht="60" x14ac:dyDescent="0.25">
      <c r="A47" s="4" t="s">
        <v>155</v>
      </c>
      <c r="B47" s="4" t="s">
        <v>35</v>
      </c>
      <c r="C47" s="4" t="s">
        <v>15</v>
      </c>
      <c r="D47" s="4">
        <v>4</v>
      </c>
      <c r="E47" s="4"/>
      <c r="F47" s="4" t="s">
        <v>347</v>
      </c>
      <c r="G47" s="4" t="s">
        <v>348</v>
      </c>
      <c r="H47" s="4" t="s">
        <v>342</v>
      </c>
      <c r="I47" s="4"/>
      <c r="J47" s="4">
        <v>26411</v>
      </c>
      <c r="K47" s="4" t="s">
        <v>349</v>
      </c>
      <c r="L47" s="4" t="s">
        <v>102</v>
      </c>
      <c r="M47" s="4" t="s">
        <v>18</v>
      </c>
      <c r="N47" s="4"/>
      <c r="O47" s="4"/>
      <c r="P47" s="4"/>
      <c r="Q47" s="4" t="s">
        <v>350</v>
      </c>
      <c r="R47" s="4">
        <v>8</v>
      </c>
      <c r="S47" s="4">
        <v>110</v>
      </c>
      <c r="T47" s="4">
        <v>114</v>
      </c>
      <c r="U47" s="4"/>
      <c r="V47" s="4">
        <v>40</v>
      </c>
      <c r="W47" s="4">
        <v>154</v>
      </c>
      <c r="X47" s="4">
        <v>2706</v>
      </c>
      <c r="Y47" s="4">
        <v>1</v>
      </c>
      <c r="Z47" s="4">
        <v>1869</v>
      </c>
      <c r="AA47" s="4">
        <v>16</v>
      </c>
      <c r="AB47" s="4">
        <v>10218</v>
      </c>
      <c r="AC47" s="4" t="s">
        <v>351</v>
      </c>
      <c r="AD47" s="13" t="s">
        <v>352</v>
      </c>
      <c r="AE47" s="4"/>
      <c r="AF47" s="4"/>
      <c r="AG47" s="4"/>
      <c r="AH47" s="4"/>
      <c r="AI47" s="4"/>
      <c r="AJ47" s="4"/>
      <c r="AK47" s="4"/>
      <c r="AL47" s="4"/>
      <c r="AM47" s="4">
        <v>0</v>
      </c>
      <c r="AN47" s="4"/>
      <c r="AO47" s="20"/>
      <c r="AP47" s="20"/>
      <c r="AQ47" s="20"/>
      <c r="AR47" s="20"/>
      <c r="AS47" s="20"/>
      <c r="AT47" s="20"/>
      <c r="AU47" s="20"/>
      <c r="AV47" s="11" t="str">
        <f t="shared" si="1"/>
        <v>-</v>
      </c>
    </row>
    <row r="48" spans="1:48" ht="72" x14ac:dyDescent="0.25">
      <c r="A48" s="4" t="s">
        <v>155</v>
      </c>
      <c r="B48" s="4" t="s">
        <v>37</v>
      </c>
      <c r="C48" s="4" t="s">
        <v>13</v>
      </c>
      <c r="D48" s="4">
        <v>4</v>
      </c>
      <c r="E48" s="4"/>
      <c r="F48" s="4" t="s">
        <v>353</v>
      </c>
      <c r="G48" s="4" t="s">
        <v>354</v>
      </c>
      <c r="H48" s="4" t="s">
        <v>355</v>
      </c>
      <c r="I48" s="4"/>
      <c r="J48" s="4">
        <v>145367</v>
      </c>
      <c r="K48" s="4" t="s">
        <v>356</v>
      </c>
      <c r="L48" s="4" t="s">
        <v>102</v>
      </c>
      <c r="M48" s="4" t="s">
        <v>18</v>
      </c>
      <c r="N48" s="4"/>
      <c r="O48" s="4"/>
      <c r="P48" s="4"/>
      <c r="Q48" s="4" t="s">
        <v>357</v>
      </c>
      <c r="R48" s="4">
        <v>67</v>
      </c>
      <c r="S48" s="4">
        <v>1757</v>
      </c>
      <c r="T48" s="4">
        <v>602</v>
      </c>
      <c r="U48" s="4"/>
      <c r="V48" s="4">
        <v>408</v>
      </c>
      <c r="W48" s="4">
        <v>1010</v>
      </c>
      <c r="X48" s="4">
        <v>23753</v>
      </c>
      <c r="Y48" s="4">
        <v>3</v>
      </c>
      <c r="Z48" s="4">
        <v>27713</v>
      </c>
      <c r="AA48" s="4">
        <v>272</v>
      </c>
      <c r="AB48" s="4">
        <v>35829</v>
      </c>
      <c r="AC48" s="4" t="s">
        <v>358</v>
      </c>
      <c r="AD48" s="13" t="s">
        <v>104</v>
      </c>
      <c r="AE48" s="4"/>
      <c r="AF48" s="4"/>
      <c r="AG48" s="4"/>
      <c r="AH48" s="4"/>
      <c r="AI48" s="4"/>
      <c r="AJ48" s="4"/>
      <c r="AK48" s="4"/>
      <c r="AL48" s="4"/>
      <c r="AM48" s="4">
        <v>0</v>
      </c>
      <c r="AN48" s="4"/>
      <c r="AO48" s="20"/>
      <c r="AP48" s="20"/>
      <c r="AQ48" s="20"/>
      <c r="AR48" s="20"/>
      <c r="AS48" s="20"/>
      <c r="AT48" s="20"/>
      <c r="AU48" s="20"/>
      <c r="AV48" s="11" t="str">
        <f t="shared" si="1"/>
        <v>-</v>
      </c>
    </row>
    <row r="49" spans="1:48" ht="48" x14ac:dyDescent="0.25">
      <c r="A49" s="4" t="s">
        <v>155</v>
      </c>
      <c r="B49" s="4" t="s">
        <v>35</v>
      </c>
      <c r="C49" s="4" t="s">
        <v>29</v>
      </c>
      <c r="D49" s="4">
        <v>4</v>
      </c>
      <c r="E49" s="4"/>
      <c r="F49" s="4" t="s">
        <v>359</v>
      </c>
      <c r="G49" s="4" t="s">
        <v>360</v>
      </c>
      <c r="H49" s="4" t="s">
        <v>361</v>
      </c>
      <c r="I49" s="4"/>
      <c r="J49" s="4">
        <v>3987000</v>
      </c>
      <c r="K49" s="4" t="s">
        <v>138</v>
      </c>
      <c r="L49" s="4" t="s">
        <v>102</v>
      </c>
      <c r="M49" s="4" t="s">
        <v>22</v>
      </c>
      <c r="N49" s="4"/>
      <c r="O49" s="4"/>
      <c r="P49" s="4"/>
      <c r="Q49" s="4"/>
      <c r="R49" s="4">
        <v>4629</v>
      </c>
      <c r="S49" s="4">
        <v>136715</v>
      </c>
      <c r="T49" s="4">
        <v>15042</v>
      </c>
      <c r="U49" s="4"/>
      <c r="V49" s="4">
        <v>5920</v>
      </c>
      <c r="W49" s="4">
        <v>20962</v>
      </c>
      <c r="X49" s="4">
        <v>282710</v>
      </c>
      <c r="Y49" s="4">
        <v>34</v>
      </c>
      <c r="Z49" s="4">
        <v>519771</v>
      </c>
      <c r="AA49" s="4">
        <v>4540</v>
      </c>
      <c r="AB49" s="4">
        <v>700356</v>
      </c>
      <c r="AC49" s="4" t="s">
        <v>113</v>
      </c>
      <c r="AD49" s="13" t="s">
        <v>362</v>
      </c>
      <c r="AE49" s="4"/>
      <c r="AF49" s="4"/>
      <c r="AG49" s="4"/>
      <c r="AH49" s="4"/>
      <c r="AI49" s="4"/>
      <c r="AJ49" s="4"/>
      <c r="AK49" s="4"/>
      <c r="AL49" s="4"/>
      <c r="AM49" s="4">
        <v>0</v>
      </c>
      <c r="AN49" s="4"/>
      <c r="AO49" s="20"/>
      <c r="AP49" s="20"/>
      <c r="AQ49" s="20"/>
      <c r="AR49" s="20"/>
      <c r="AS49" s="20"/>
      <c r="AT49" s="20"/>
      <c r="AU49" s="20"/>
      <c r="AV49" s="11" t="str">
        <f t="shared" si="1"/>
        <v>-</v>
      </c>
    </row>
    <row r="50" spans="1:48" ht="60" x14ac:dyDescent="0.25">
      <c r="A50" s="4" t="s">
        <v>155</v>
      </c>
      <c r="B50" s="4" t="s">
        <v>37</v>
      </c>
      <c r="C50" s="4" t="s">
        <v>23</v>
      </c>
      <c r="D50" s="4">
        <v>4</v>
      </c>
      <c r="E50" s="4"/>
      <c r="F50" s="4" t="s">
        <v>363</v>
      </c>
      <c r="G50" s="4" t="s">
        <v>364</v>
      </c>
      <c r="H50" s="4" t="s">
        <v>365</v>
      </c>
      <c r="I50" s="4"/>
      <c r="J50" s="4">
        <v>339000</v>
      </c>
      <c r="K50" s="4" t="s">
        <v>366</v>
      </c>
      <c r="L50" s="4" t="s">
        <v>102</v>
      </c>
      <c r="M50" s="4" t="s">
        <v>14</v>
      </c>
      <c r="N50" s="4"/>
      <c r="O50" s="4"/>
      <c r="P50" s="4"/>
      <c r="Q50" s="4"/>
      <c r="R50" s="4">
        <v>335</v>
      </c>
      <c r="S50" s="4">
        <v>4900</v>
      </c>
      <c r="T50" s="4">
        <v>1156</v>
      </c>
      <c r="U50" s="4"/>
      <c r="V50" s="4">
        <v>888</v>
      </c>
      <c r="W50" s="4">
        <v>2044</v>
      </c>
      <c r="X50" s="4">
        <v>33000</v>
      </c>
      <c r="Y50" s="4">
        <v>6</v>
      </c>
      <c r="Z50" s="4">
        <v>60748</v>
      </c>
      <c r="AA50" s="4">
        <v>528</v>
      </c>
      <c r="AB50" s="4">
        <v>76714</v>
      </c>
      <c r="AC50" s="4" t="s">
        <v>367</v>
      </c>
      <c r="AD50" s="13" t="s">
        <v>198</v>
      </c>
      <c r="AE50" s="4"/>
      <c r="AF50" s="4"/>
      <c r="AG50" s="4"/>
      <c r="AH50" s="4"/>
      <c r="AI50" s="4"/>
      <c r="AJ50" s="4"/>
      <c r="AK50" s="4"/>
      <c r="AL50" s="4"/>
      <c r="AM50" s="4">
        <v>0</v>
      </c>
      <c r="AN50" s="4">
        <v>17686</v>
      </c>
      <c r="AO50" s="20"/>
      <c r="AP50" s="20"/>
      <c r="AQ50" s="20"/>
      <c r="AR50" s="20"/>
      <c r="AS50" s="20"/>
      <c r="AT50" s="20"/>
      <c r="AU50" s="20"/>
      <c r="AV50" s="11" t="str">
        <f t="shared" si="1"/>
        <v>-</v>
      </c>
    </row>
    <row r="51" spans="1:48" ht="48" x14ac:dyDescent="0.25">
      <c r="A51" s="4" t="s">
        <v>155</v>
      </c>
      <c r="B51" s="4" t="s">
        <v>35</v>
      </c>
      <c r="C51" s="4" t="s">
        <v>32</v>
      </c>
      <c r="D51" s="4">
        <v>5</v>
      </c>
      <c r="E51" s="4"/>
      <c r="F51" s="4" t="s">
        <v>368</v>
      </c>
      <c r="G51" s="4" t="s">
        <v>369</v>
      </c>
      <c r="H51" s="4" t="s">
        <v>370</v>
      </c>
      <c r="I51" s="4"/>
      <c r="J51" s="4">
        <v>10297000</v>
      </c>
      <c r="K51" s="4" t="s">
        <v>138</v>
      </c>
      <c r="L51" s="4" t="s">
        <v>102</v>
      </c>
      <c r="M51" s="4" t="s">
        <v>22</v>
      </c>
      <c r="N51" s="4"/>
      <c r="O51" s="4"/>
      <c r="P51" s="4"/>
      <c r="Q51" s="4"/>
      <c r="R51" s="4">
        <v>9700</v>
      </c>
      <c r="S51" s="4">
        <v>591000</v>
      </c>
      <c r="T51" s="4">
        <v>32256</v>
      </c>
      <c r="U51" s="4"/>
      <c r="V51" s="4">
        <v>7318</v>
      </c>
      <c r="W51" s="4">
        <v>39574</v>
      </c>
      <c r="X51" s="4">
        <v>814399</v>
      </c>
      <c r="Y51" s="4">
        <v>39</v>
      </c>
      <c r="Z51" s="4">
        <v>981794</v>
      </c>
      <c r="AA51" s="4">
        <v>4680</v>
      </c>
      <c r="AB51" s="4">
        <v>981794</v>
      </c>
      <c r="AC51" s="4" t="s">
        <v>197</v>
      </c>
      <c r="AD51" s="13" t="s">
        <v>362</v>
      </c>
      <c r="AE51" s="4"/>
      <c r="AF51" s="4"/>
      <c r="AG51" s="4"/>
      <c r="AH51" s="4"/>
      <c r="AI51" s="4"/>
      <c r="AJ51" s="4"/>
      <c r="AK51" s="4"/>
      <c r="AL51" s="4"/>
      <c r="AM51" s="4">
        <v>0</v>
      </c>
      <c r="AN51" s="4"/>
      <c r="AO51" s="20"/>
      <c r="AP51" s="20"/>
      <c r="AQ51" s="20"/>
      <c r="AR51" s="20"/>
      <c r="AS51" s="20"/>
      <c r="AT51" s="20"/>
      <c r="AU51" s="20"/>
      <c r="AV51" s="11" t="str">
        <f t="shared" si="1"/>
        <v>-</v>
      </c>
    </row>
    <row r="52" spans="1:48" ht="36" x14ac:dyDescent="0.25">
      <c r="A52" s="4" t="s">
        <v>155</v>
      </c>
      <c r="B52" s="4" t="s">
        <v>35</v>
      </c>
      <c r="C52" s="4" t="s">
        <v>27</v>
      </c>
      <c r="D52" s="4">
        <v>5</v>
      </c>
      <c r="E52" s="4"/>
      <c r="F52" s="4" t="s">
        <v>371</v>
      </c>
      <c r="G52" s="4" t="s">
        <v>372</v>
      </c>
      <c r="H52" s="4" t="s">
        <v>373</v>
      </c>
      <c r="I52" s="4"/>
      <c r="J52" s="4">
        <v>427720</v>
      </c>
      <c r="K52" s="4" t="s">
        <v>374</v>
      </c>
      <c r="L52" s="4" t="s">
        <v>102</v>
      </c>
      <c r="M52" s="4" t="s">
        <v>18</v>
      </c>
      <c r="N52" s="4"/>
      <c r="O52" s="4"/>
      <c r="P52" s="4"/>
      <c r="Q52" s="4" t="s">
        <v>375</v>
      </c>
      <c r="R52" s="4">
        <v>260</v>
      </c>
      <c r="S52" s="4">
        <v>8200</v>
      </c>
      <c r="T52" s="4">
        <v>1754</v>
      </c>
      <c r="U52" s="4"/>
      <c r="V52" s="4">
        <v>716</v>
      </c>
      <c r="W52" s="4">
        <v>2470</v>
      </c>
      <c r="X52" s="4">
        <v>48947</v>
      </c>
      <c r="Y52" s="4">
        <v>8</v>
      </c>
      <c r="Z52" s="4">
        <v>48917</v>
      </c>
      <c r="AA52" s="4">
        <v>608</v>
      </c>
      <c r="AB52" s="4">
        <v>73434</v>
      </c>
      <c r="AC52" s="4" t="s">
        <v>146</v>
      </c>
      <c r="AD52" s="13" t="s">
        <v>261</v>
      </c>
      <c r="AE52" s="4"/>
      <c r="AF52" s="4"/>
      <c r="AG52" s="4"/>
      <c r="AH52" s="4"/>
      <c r="AI52" s="4"/>
      <c r="AJ52" s="4"/>
      <c r="AK52" s="4"/>
      <c r="AL52" s="4"/>
      <c r="AM52" s="4">
        <v>0</v>
      </c>
      <c r="AN52" s="4">
        <v>54441</v>
      </c>
      <c r="AO52" s="20"/>
      <c r="AP52" s="20"/>
      <c r="AQ52" s="20"/>
      <c r="AR52" s="20"/>
      <c r="AS52" s="20"/>
      <c r="AT52" s="20"/>
      <c r="AU52" s="20"/>
      <c r="AV52" s="11" t="str">
        <f t="shared" si="1"/>
        <v>-</v>
      </c>
    </row>
    <row r="53" spans="1:48" ht="72" x14ac:dyDescent="0.25">
      <c r="A53" s="4" t="s">
        <v>155</v>
      </c>
      <c r="B53" s="4" t="s">
        <v>37</v>
      </c>
      <c r="C53" s="4" t="s">
        <v>15</v>
      </c>
      <c r="D53" s="4">
        <v>5</v>
      </c>
      <c r="E53" s="4"/>
      <c r="F53" s="4" t="s">
        <v>376</v>
      </c>
      <c r="G53" s="4" t="s">
        <v>377</v>
      </c>
      <c r="H53" s="4" t="s">
        <v>373</v>
      </c>
      <c r="I53" s="4"/>
      <c r="J53" s="4">
        <v>465000</v>
      </c>
      <c r="K53" s="4" t="s">
        <v>112</v>
      </c>
      <c r="L53" s="4" t="s">
        <v>102</v>
      </c>
      <c r="M53" s="4" t="s">
        <v>20</v>
      </c>
      <c r="N53" s="4"/>
      <c r="O53" s="4"/>
      <c r="P53" s="4"/>
      <c r="Q53" s="4"/>
      <c r="R53" s="4">
        <v>464</v>
      </c>
      <c r="S53" s="4"/>
      <c r="T53" s="4">
        <v>1606</v>
      </c>
      <c r="U53" s="4"/>
      <c r="V53" s="4">
        <v>888</v>
      </c>
      <c r="W53" s="4">
        <v>2494</v>
      </c>
      <c r="X53" s="4">
        <v>42274</v>
      </c>
      <c r="Y53" s="4">
        <v>8</v>
      </c>
      <c r="Z53" s="4">
        <v>61272</v>
      </c>
      <c r="AA53" s="4">
        <v>672</v>
      </c>
      <c r="AB53" s="4">
        <v>99401</v>
      </c>
      <c r="AC53" s="4" t="s">
        <v>306</v>
      </c>
      <c r="AD53" s="13" t="s">
        <v>104</v>
      </c>
      <c r="AE53" s="4"/>
      <c r="AF53" s="4"/>
      <c r="AG53" s="4"/>
      <c r="AH53" s="4"/>
      <c r="AI53" s="4"/>
      <c r="AJ53" s="4"/>
      <c r="AK53" s="4"/>
      <c r="AL53" s="4"/>
      <c r="AM53" s="4">
        <v>0</v>
      </c>
      <c r="AN53" s="4">
        <v>28357</v>
      </c>
      <c r="AO53" s="20"/>
      <c r="AP53" s="20"/>
      <c r="AQ53" s="20"/>
      <c r="AR53" s="20"/>
      <c r="AS53" s="20"/>
      <c r="AT53" s="20"/>
      <c r="AU53" s="20"/>
      <c r="AV53" s="11" t="str">
        <f t="shared" si="1"/>
        <v>-</v>
      </c>
    </row>
    <row r="54" spans="1:48" ht="60" x14ac:dyDescent="0.25">
      <c r="A54" s="4" t="s">
        <v>155</v>
      </c>
      <c r="B54" s="4" t="s">
        <v>37</v>
      </c>
      <c r="C54" s="4" t="s">
        <v>15</v>
      </c>
      <c r="D54" s="4">
        <v>5</v>
      </c>
      <c r="E54" s="4"/>
      <c r="F54" s="4" t="s">
        <v>378</v>
      </c>
      <c r="G54" s="4" t="s">
        <v>379</v>
      </c>
      <c r="H54" s="4" t="s">
        <v>380</v>
      </c>
      <c r="I54" s="4"/>
      <c r="J54" s="4">
        <v>72254</v>
      </c>
      <c r="K54" s="4" t="s">
        <v>381</v>
      </c>
      <c r="L54" s="4" t="s">
        <v>102</v>
      </c>
      <c r="M54" s="4" t="s">
        <v>18</v>
      </c>
      <c r="N54" s="4"/>
      <c r="O54" s="4"/>
      <c r="P54" s="4"/>
      <c r="Q54" s="4" t="s">
        <v>382</v>
      </c>
      <c r="R54" s="4">
        <v>28</v>
      </c>
      <c r="S54" s="4">
        <v>121</v>
      </c>
      <c r="T54" s="4">
        <v>300</v>
      </c>
      <c r="U54" s="4"/>
      <c r="V54" s="4">
        <v>176</v>
      </c>
      <c r="W54" s="4">
        <v>476</v>
      </c>
      <c r="X54" s="4">
        <v>10282</v>
      </c>
      <c r="Y54" s="4">
        <v>2</v>
      </c>
      <c r="Z54" s="4">
        <v>11646</v>
      </c>
      <c r="AA54" s="4">
        <v>132</v>
      </c>
      <c r="AB54" s="4">
        <v>16588</v>
      </c>
      <c r="AC54" s="4" t="s">
        <v>367</v>
      </c>
      <c r="AD54" s="13" t="s">
        <v>383</v>
      </c>
      <c r="AE54" s="4"/>
      <c r="AF54" s="4"/>
      <c r="AG54" s="4"/>
      <c r="AH54" s="4"/>
      <c r="AI54" s="4"/>
      <c r="AJ54" s="4"/>
      <c r="AK54" s="4"/>
      <c r="AL54" s="4"/>
      <c r="AM54" s="4">
        <v>0</v>
      </c>
      <c r="AN54" s="4">
        <v>5930</v>
      </c>
      <c r="AO54" s="20"/>
      <c r="AP54" s="20"/>
      <c r="AQ54" s="20"/>
      <c r="AR54" s="20"/>
      <c r="AS54" s="20"/>
      <c r="AT54" s="20"/>
      <c r="AU54" s="20"/>
      <c r="AV54" s="11" t="str">
        <f t="shared" si="1"/>
        <v>-</v>
      </c>
    </row>
    <row r="55" spans="1:48" ht="60" x14ac:dyDescent="0.25">
      <c r="A55" s="4" t="s">
        <v>155</v>
      </c>
      <c r="B55" s="4" t="s">
        <v>37</v>
      </c>
      <c r="C55" s="4" t="s">
        <v>15</v>
      </c>
      <c r="D55" s="4">
        <v>5</v>
      </c>
      <c r="E55" s="4"/>
      <c r="F55" s="4" t="s">
        <v>384</v>
      </c>
      <c r="G55" s="4" t="s">
        <v>385</v>
      </c>
      <c r="H55" s="4" t="s">
        <v>380</v>
      </c>
      <c r="I55" s="4"/>
      <c r="J55" s="4">
        <v>86159</v>
      </c>
      <c r="K55" s="4" t="s">
        <v>386</v>
      </c>
      <c r="L55" s="4" t="s">
        <v>102</v>
      </c>
      <c r="M55" s="4" t="s">
        <v>18</v>
      </c>
      <c r="N55" s="4"/>
      <c r="O55" s="4"/>
      <c r="P55" s="4"/>
      <c r="Q55" s="4" t="s">
        <v>387</v>
      </c>
      <c r="R55" s="4">
        <v>60</v>
      </c>
      <c r="S55" s="4">
        <v>2252</v>
      </c>
      <c r="T55" s="4">
        <v>316</v>
      </c>
      <c r="U55" s="4"/>
      <c r="V55" s="4">
        <v>184</v>
      </c>
      <c r="W55" s="4">
        <v>500</v>
      </c>
      <c r="X55" s="4">
        <v>10080</v>
      </c>
      <c r="Y55" s="4">
        <v>2</v>
      </c>
      <c r="Z55" s="4">
        <v>12074</v>
      </c>
      <c r="AA55" s="4">
        <v>136</v>
      </c>
      <c r="AB55" s="4">
        <v>22661</v>
      </c>
      <c r="AC55" s="4" t="s">
        <v>388</v>
      </c>
      <c r="AD55" s="13" t="s">
        <v>389</v>
      </c>
      <c r="AE55" s="4"/>
      <c r="AF55" s="4"/>
      <c r="AG55" s="4"/>
      <c r="AH55" s="4"/>
      <c r="AI55" s="4"/>
      <c r="AJ55" s="4"/>
      <c r="AK55" s="4"/>
      <c r="AL55" s="4"/>
      <c r="AM55" s="4">
        <v>0</v>
      </c>
      <c r="AN55" s="4">
        <v>4502</v>
      </c>
      <c r="AO55" s="20"/>
      <c r="AP55" s="20"/>
      <c r="AQ55" s="20"/>
      <c r="AR55" s="20"/>
      <c r="AS55" s="20"/>
      <c r="AT55" s="20"/>
      <c r="AU55" s="20"/>
      <c r="AV55" s="11" t="str">
        <f t="shared" si="1"/>
        <v>-</v>
      </c>
    </row>
    <row r="56" spans="1:48" ht="36" x14ac:dyDescent="0.25">
      <c r="A56" s="4" t="s">
        <v>155</v>
      </c>
      <c r="B56" s="4" t="s">
        <v>41</v>
      </c>
      <c r="C56" s="4" t="s">
        <v>23</v>
      </c>
      <c r="D56" s="4">
        <v>5</v>
      </c>
      <c r="E56" s="4"/>
      <c r="F56" s="4" t="s">
        <v>390</v>
      </c>
      <c r="G56" s="4" t="s">
        <v>391</v>
      </c>
      <c r="H56" s="4" t="s">
        <v>311</v>
      </c>
      <c r="I56" s="4"/>
      <c r="J56" s="4">
        <v>1129733</v>
      </c>
      <c r="K56" s="4" t="s">
        <v>392</v>
      </c>
      <c r="L56" s="4" t="s">
        <v>102</v>
      </c>
      <c r="M56" s="4" t="s">
        <v>20</v>
      </c>
      <c r="N56" s="4"/>
      <c r="O56" s="4"/>
      <c r="P56" s="4"/>
      <c r="Q56" s="4"/>
      <c r="R56" s="4">
        <v>887</v>
      </c>
      <c r="S56" s="4"/>
      <c r="T56" s="4">
        <v>2632</v>
      </c>
      <c r="U56" s="4"/>
      <c r="V56" s="4">
        <v>1231</v>
      </c>
      <c r="W56" s="4">
        <v>3863</v>
      </c>
      <c r="X56" s="4">
        <v>102616</v>
      </c>
      <c r="Y56" s="4">
        <v>10</v>
      </c>
      <c r="Z56" s="4">
        <v>97635</v>
      </c>
      <c r="AA56" s="4">
        <v>920</v>
      </c>
      <c r="AB56" s="4">
        <v>226103</v>
      </c>
      <c r="AC56" s="4" t="s">
        <v>103</v>
      </c>
      <c r="AD56" s="13" t="s">
        <v>393</v>
      </c>
      <c r="AE56" s="4"/>
      <c r="AF56" s="4"/>
      <c r="AG56" s="4"/>
      <c r="AH56" s="4"/>
      <c r="AI56" s="4"/>
      <c r="AJ56" s="4"/>
      <c r="AK56" s="4"/>
      <c r="AL56" s="4"/>
      <c r="AM56" s="4">
        <v>0</v>
      </c>
      <c r="AN56" s="4">
        <v>127750</v>
      </c>
      <c r="AO56" s="20"/>
      <c r="AP56" s="20"/>
      <c r="AQ56" s="20"/>
      <c r="AR56" s="20"/>
      <c r="AS56" s="20"/>
      <c r="AT56" s="20"/>
      <c r="AU56" s="20"/>
      <c r="AV56" s="11" t="str">
        <f t="shared" si="1"/>
        <v>-</v>
      </c>
    </row>
    <row r="57" spans="1:48" ht="60" x14ac:dyDescent="0.25">
      <c r="A57" s="4" t="s">
        <v>155</v>
      </c>
      <c r="B57" s="4" t="s">
        <v>37</v>
      </c>
      <c r="C57" s="4" t="s">
        <v>30</v>
      </c>
      <c r="D57" s="4">
        <v>5</v>
      </c>
      <c r="E57" s="4"/>
      <c r="F57" s="4" t="s">
        <v>394</v>
      </c>
      <c r="G57" s="4" t="s">
        <v>395</v>
      </c>
      <c r="H57" s="4" t="s">
        <v>259</v>
      </c>
      <c r="I57" s="4"/>
      <c r="J57" s="4">
        <v>16122000</v>
      </c>
      <c r="K57" s="4" t="s">
        <v>249</v>
      </c>
      <c r="L57" s="4" t="s">
        <v>102</v>
      </c>
      <c r="M57" s="4" t="s">
        <v>14</v>
      </c>
      <c r="N57" s="4"/>
      <c r="O57" s="4"/>
      <c r="P57" s="4"/>
      <c r="Q57" s="4" t="s">
        <v>396</v>
      </c>
      <c r="R57" s="4">
        <v>9898</v>
      </c>
      <c r="S57" s="4">
        <v>244184</v>
      </c>
      <c r="T57" s="4">
        <v>34296</v>
      </c>
      <c r="U57" s="4"/>
      <c r="V57" s="4">
        <v>10054</v>
      </c>
      <c r="W57" s="4">
        <v>44350</v>
      </c>
      <c r="X57" s="4">
        <v>1400997</v>
      </c>
      <c r="Y57" s="4">
        <v>48</v>
      </c>
      <c r="Z57" s="4">
        <v>1136990</v>
      </c>
      <c r="AA57" s="4">
        <v>7248</v>
      </c>
      <c r="AB57" s="4">
        <v>2384388</v>
      </c>
      <c r="AC57" s="4" t="s">
        <v>204</v>
      </c>
      <c r="AD57" s="13" t="s">
        <v>397</v>
      </c>
      <c r="AE57" s="4"/>
      <c r="AF57" s="4"/>
      <c r="AG57" s="4"/>
      <c r="AH57" s="4"/>
      <c r="AI57" s="4"/>
      <c r="AJ57" s="4"/>
      <c r="AK57" s="4"/>
      <c r="AL57" s="4"/>
      <c r="AM57" s="4">
        <v>0</v>
      </c>
      <c r="AN57" s="4">
        <v>565276</v>
      </c>
      <c r="AO57" s="20"/>
      <c r="AP57" s="20"/>
      <c r="AQ57" s="20"/>
      <c r="AR57" s="20"/>
      <c r="AS57" s="20"/>
      <c r="AT57" s="20"/>
      <c r="AU57" s="20"/>
      <c r="AV57" s="11" t="str">
        <f t="shared" si="1"/>
        <v>-</v>
      </c>
    </row>
    <row r="58" spans="1:48" ht="24" x14ac:dyDescent="0.25">
      <c r="A58" s="4" t="s">
        <v>155</v>
      </c>
      <c r="B58" s="4" t="s">
        <v>35</v>
      </c>
      <c r="C58" s="4" t="s">
        <v>23</v>
      </c>
      <c r="D58" s="4">
        <v>5</v>
      </c>
      <c r="E58" s="4"/>
      <c r="F58" s="4" t="s">
        <v>398</v>
      </c>
      <c r="G58" s="4" t="s">
        <v>399</v>
      </c>
      <c r="H58" s="4" t="s">
        <v>267</v>
      </c>
      <c r="I58" s="4"/>
      <c r="J58" s="4">
        <v>459000</v>
      </c>
      <c r="K58" s="4" t="s">
        <v>151</v>
      </c>
      <c r="L58" s="4" t="s">
        <v>102</v>
      </c>
      <c r="M58" s="4" t="s">
        <v>16</v>
      </c>
      <c r="N58" s="4"/>
      <c r="O58" s="4"/>
      <c r="P58" s="4"/>
      <c r="Q58" s="4"/>
      <c r="R58" s="4">
        <v>20</v>
      </c>
      <c r="S58" s="4">
        <v>212</v>
      </c>
      <c r="T58" s="4">
        <v>511</v>
      </c>
      <c r="U58" s="4"/>
      <c r="V58" s="4">
        <v>290</v>
      </c>
      <c r="W58" s="4">
        <v>801</v>
      </c>
      <c r="X58" s="4">
        <v>30290</v>
      </c>
      <c r="Y58" s="4">
        <v>4</v>
      </c>
      <c r="Z58" s="4">
        <v>16407</v>
      </c>
      <c r="AA58" s="4">
        <v>264</v>
      </c>
      <c r="AB58" s="4">
        <v>35167</v>
      </c>
      <c r="AC58" s="4" t="s">
        <v>400</v>
      </c>
      <c r="AD58" s="13" t="s">
        <v>401</v>
      </c>
      <c r="AE58" s="4"/>
      <c r="AF58" s="4"/>
      <c r="AG58" s="4"/>
      <c r="AH58" s="4"/>
      <c r="AI58" s="4"/>
      <c r="AJ58" s="4"/>
      <c r="AK58" s="4"/>
      <c r="AL58" s="4"/>
      <c r="AM58" s="4">
        <v>0</v>
      </c>
      <c r="AN58" s="4">
        <v>16057</v>
      </c>
      <c r="AO58" s="20"/>
      <c r="AP58" s="20"/>
      <c r="AQ58" s="20"/>
      <c r="AR58" s="20"/>
      <c r="AS58" s="20"/>
      <c r="AT58" s="20"/>
      <c r="AU58" s="20"/>
      <c r="AV58" s="11" t="str">
        <f t="shared" si="1"/>
        <v>-</v>
      </c>
    </row>
    <row r="59" spans="1:48" ht="24" x14ac:dyDescent="0.25">
      <c r="A59" s="8" t="s">
        <v>2</v>
      </c>
      <c r="B59" s="8" t="s">
        <v>37</v>
      </c>
      <c r="C59" s="8" t="s">
        <v>17</v>
      </c>
      <c r="D59" s="8">
        <v>5</v>
      </c>
      <c r="E59" s="8" t="s">
        <v>402</v>
      </c>
      <c r="F59" s="8" t="s">
        <v>403</v>
      </c>
      <c r="G59" s="8" t="s">
        <v>404</v>
      </c>
      <c r="H59" s="8" t="s">
        <v>405</v>
      </c>
      <c r="I59" s="8" t="s">
        <v>406</v>
      </c>
      <c r="J59" s="8">
        <v>117844</v>
      </c>
      <c r="K59" s="8" t="s">
        <v>225</v>
      </c>
      <c r="L59" s="8" t="s">
        <v>102</v>
      </c>
      <c r="M59" s="8" t="s">
        <v>18</v>
      </c>
      <c r="N59" s="8">
        <v>117000</v>
      </c>
      <c r="O59" s="8"/>
      <c r="P59" s="8">
        <v>0</v>
      </c>
      <c r="Q59" s="8" t="s">
        <v>407</v>
      </c>
      <c r="R59" s="8">
        <v>110</v>
      </c>
      <c r="S59" s="8">
        <v>5940</v>
      </c>
      <c r="T59" s="8">
        <v>144</v>
      </c>
      <c r="U59" s="8"/>
      <c r="V59" s="8">
        <v>120</v>
      </c>
      <c r="W59" s="8">
        <v>264</v>
      </c>
      <c r="X59" s="8">
        <v>12751</v>
      </c>
      <c r="Y59" s="8">
        <v>2</v>
      </c>
      <c r="Z59" s="8">
        <v>8495</v>
      </c>
      <c r="AA59" s="8">
        <v>128</v>
      </c>
      <c r="AB59" s="8">
        <v>16586</v>
      </c>
      <c r="AC59" s="8" t="s">
        <v>123</v>
      </c>
      <c r="AD59" s="9" t="s">
        <v>408</v>
      </c>
      <c r="AE59" s="8">
        <v>474.5</v>
      </c>
      <c r="AF59" s="8">
        <v>142193</v>
      </c>
      <c r="AG59" s="8">
        <v>44502</v>
      </c>
      <c r="AH59" s="8">
        <v>186695</v>
      </c>
      <c r="AI59" s="8" t="s">
        <v>409</v>
      </c>
      <c r="AJ59" s="8" t="s">
        <v>106</v>
      </c>
      <c r="AK59" s="10">
        <v>45839</v>
      </c>
      <c r="AL59" s="8"/>
      <c r="AM59" s="8">
        <v>0</v>
      </c>
      <c r="AN59" s="8">
        <v>2531</v>
      </c>
      <c r="AO59" s="20"/>
      <c r="AP59" s="20"/>
      <c r="AQ59" s="20"/>
      <c r="AR59" s="20"/>
      <c r="AS59" s="20"/>
      <c r="AT59" s="20"/>
      <c r="AU59" s="20"/>
      <c r="AV59" s="11">
        <f t="shared" si="1"/>
        <v>-7.1620107939309599E-3</v>
      </c>
    </row>
    <row r="60" spans="1:48" ht="48" x14ac:dyDescent="0.25">
      <c r="A60" s="4" t="s">
        <v>155</v>
      </c>
      <c r="B60" s="4" t="s">
        <v>37</v>
      </c>
      <c r="C60" s="4" t="s">
        <v>23</v>
      </c>
      <c r="D60" s="4">
        <v>5</v>
      </c>
      <c r="E60" s="4"/>
      <c r="F60" s="4" t="s">
        <v>410</v>
      </c>
      <c r="G60" s="4" t="s">
        <v>411</v>
      </c>
      <c r="H60" s="4" t="s">
        <v>405</v>
      </c>
      <c r="I60" s="4"/>
      <c r="J60" s="4">
        <v>68100</v>
      </c>
      <c r="K60" s="4" t="s">
        <v>412</v>
      </c>
      <c r="L60" s="4" t="s">
        <v>102</v>
      </c>
      <c r="M60" s="4" t="s">
        <v>12</v>
      </c>
      <c r="N60" s="4"/>
      <c r="O60" s="4"/>
      <c r="P60" s="4"/>
      <c r="Q60" s="4"/>
      <c r="R60" s="4">
        <v>13</v>
      </c>
      <c r="S60" s="4">
        <v>1580</v>
      </c>
      <c r="T60" s="4">
        <v>373</v>
      </c>
      <c r="U60" s="4"/>
      <c r="V60" s="4">
        <v>128</v>
      </c>
      <c r="W60" s="4">
        <v>501</v>
      </c>
      <c r="X60" s="4">
        <v>8200</v>
      </c>
      <c r="Y60" s="4">
        <v>0</v>
      </c>
      <c r="Z60" s="4">
        <v>0</v>
      </c>
      <c r="AA60" s="4">
        <v>80</v>
      </c>
      <c r="AB60" s="4">
        <v>10572</v>
      </c>
      <c r="AC60" s="4" t="s">
        <v>153</v>
      </c>
      <c r="AD60" s="13" t="s">
        <v>413</v>
      </c>
      <c r="AE60" s="4"/>
      <c r="AF60" s="4"/>
      <c r="AG60" s="4"/>
      <c r="AH60" s="4"/>
      <c r="AI60" s="4"/>
      <c r="AJ60" s="4"/>
      <c r="AK60" s="4"/>
      <c r="AL60" s="4"/>
      <c r="AM60" s="4">
        <v>0</v>
      </c>
      <c r="AN60" s="4">
        <v>8174</v>
      </c>
      <c r="AO60" s="20"/>
      <c r="AP60" s="20"/>
      <c r="AQ60" s="20"/>
      <c r="AR60" s="20"/>
      <c r="AS60" s="20"/>
      <c r="AT60" s="20"/>
      <c r="AU60" s="20"/>
      <c r="AV60" s="11" t="str">
        <f t="shared" si="1"/>
        <v>-</v>
      </c>
    </row>
    <row r="61" spans="1:48" ht="60" x14ac:dyDescent="0.25">
      <c r="A61" s="8" t="s">
        <v>2</v>
      </c>
      <c r="B61" s="8" t="s">
        <v>35</v>
      </c>
      <c r="C61" s="8" t="s">
        <v>23</v>
      </c>
      <c r="D61" s="8">
        <v>5</v>
      </c>
      <c r="E61" s="8" t="s">
        <v>414</v>
      </c>
      <c r="F61" s="8" t="s">
        <v>415</v>
      </c>
      <c r="G61" s="8" t="s">
        <v>416</v>
      </c>
      <c r="H61" s="8" t="s">
        <v>417</v>
      </c>
      <c r="I61" s="8" t="s">
        <v>418</v>
      </c>
      <c r="J61" s="8">
        <v>108500</v>
      </c>
      <c r="K61" s="8" t="s">
        <v>138</v>
      </c>
      <c r="L61" s="8" t="s">
        <v>102</v>
      </c>
      <c r="M61" s="8" t="s">
        <v>14</v>
      </c>
      <c r="N61" s="8">
        <v>108500</v>
      </c>
      <c r="O61" s="8">
        <v>10000</v>
      </c>
      <c r="P61" s="8">
        <v>1140</v>
      </c>
      <c r="Q61" s="8"/>
      <c r="R61" s="8">
        <v>254</v>
      </c>
      <c r="S61" s="8">
        <v>224</v>
      </c>
      <c r="T61" s="8">
        <v>812</v>
      </c>
      <c r="U61" s="8"/>
      <c r="V61" s="8">
        <v>328</v>
      </c>
      <c r="W61" s="8">
        <v>1140</v>
      </c>
      <c r="X61" s="8">
        <v>10000</v>
      </c>
      <c r="Y61" s="8">
        <v>4</v>
      </c>
      <c r="Z61" s="8">
        <v>23063</v>
      </c>
      <c r="AA61" s="8">
        <v>256</v>
      </c>
      <c r="AB61" s="8">
        <v>18240</v>
      </c>
      <c r="AC61" s="8" t="s">
        <v>146</v>
      </c>
      <c r="AD61" s="9" t="s">
        <v>122</v>
      </c>
      <c r="AE61" s="8">
        <v>917.5</v>
      </c>
      <c r="AF61" s="8">
        <v>92500</v>
      </c>
      <c r="AG61" s="8">
        <v>16005</v>
      </c>
      <c r="AH61" s="8">
        <v>108505</v>
      </c>
      <c r="AI61" s="8" t="s">
        <v>419</v>
      </c>
      <c r="AJ61" s="8" t="s">
        <v>106</v>
      </c>
      <c r="AK61" s="10">
        <v>45931</v>
      </c>
      <c r="AL61" s="8"/>
      <c r="AM61" s="8">
        <v>0</v>
      </c>
      <c r="AN61" s="8">
        <v>9809</v>
      </c>
      <c r="AO61" s="20"/>
      <c r="AP61" s="20"/>
      <c r="AQ61" s="20"/>
      <c r="AR61" s="20"/>
      <c r="AS61" s="20"/>
      <c r="AT61" s="20"/>
      <c r="AU61" s="20"/>
      <c r="AV61" s="11">
        <f t="shared" si="1"/>
        <v>0</v>
      </c>
    </row>
    <row r="62" spans="1:48" ht="48" x14ac:dyDescent="0.25">
      <c r="A62" s="4" t="s">
        <v>155</v>
      </c>
      <c r="B62" s="4" t="s">
        <v>37</v>
      </c>
      <c r="C62" s="4" t="s">
        <v>30</v>
      </c>
      <c r="D62" s="4">
        <v>6</v>
      </c>
      <c r="E62" s="4"/>
      <c r="F62" s="4" t="s">
        <v>420</v>
      </c>
      <c r="G62" s="4" t="s">
        <v>421</v>
      </c>
      <c r="H62" s="4" t="s">
        <v>422</v>
      </c>
      <c r="I62" s="4"/>
      <c r="J62" s="4">
        <v>28897000</v>
      </c>
      <c r="K62" s="4" t="s">
        <v>249</v>
      </c>
      <c r="L62" s="4" t="s">
        <v>102</v>
      </c>
      <c r="M62" s="4" t="s">
        <v>14</v>
      </c>
      <c r="N62" s="4"/>
      <c r="O62" s="4"/>
      <c r="P62" s="4"/>
      <c r="Q62" s="4"/>
      <c r="R62" s="4">
        <v>16893</v>
      </c>
      <c r="S62" s="4">
        <v>460000</v>
      </c>
      <c r="T62" s="4">
        <v>89970</v>
      </c>
      <c r="U62" s="4"/>
      <c r="V62" s="4">
        <v>32566</v>
      </c>
      <c r="W62" s="4">
        <v>122536</v>
      </c>
      <c r="X62" s="4">
        <v>3000000</v>
      </c>
      <c r="Y62" s="4">
        <v>58</v>
      </c>
      <c r="Z62" s="4">
        <v>3093739</v>
      </c>
      <c r="AA62" s="4">
        <v>8720</v>
      </c>
      <c r="AB62" s="4">
        <v>5055979</v>
      </c>
      <c r="AC62" s="4" t="s">
        <v>146</v>
      </c>
      <c r="AD62" s="13" t="s">
        <v>423</v>
      </c>
      <c r="AE62" s="4"/>
      <c r="AF62" s="4"/>
      <c r="AG62" s="4"/>
      <c r="AH62" s="4"/>
      <c r="AI62" s="4"/>
      <c r="AJ62" s="4"/>
      <c r="AK62" s="4"/>
      <c r="AL62" s="4"/>
      <c r="AM62" s="4">
        <v>0</v>
      </c>
      <c r="AN62" s="4">
        <v>1635987</v>
      </c>
      <c r="AO62" s="20"/>
      <c r="AP62" s="20"/>
      <c r="AQ62" s="20"/>
      <c r="AR62" s="20"/>
      <c r="AS62" s="20"/>
      <c r="AT62" s="20"/>
      <c r="AU62" s="20"/>
      <c r="AV62" s="11" t="str">
        <f t="shared" si="1"/>
        <v>-</v>
      </c>
    </row>
    <row r="63" spans="1:48" ht="72" x14ac:dyDescent="0.25">
      <c r="A63" s="4" t="s">
        <v>155</v>
      </c>
      <c r="B63" s="4" t="s">
        <v>37</v>
      </c>
      <c r="C63" s="4" t="s">
        <v>15</v>
      </c>
      <c r="D63" s="4">
        <v>6</v>
      </c>
      <c r="E63" s="4"/>
      <c r="F63" s="4" t="s">
        <v>424</v>
      </c>
      <c r="G63" s="4" t="s">
        <v>425</v>
      </c>
      <c r="H63" s="4" t="s">
        <v>426</v>
      </c>
      <c r="I63" s="4"/>
      <c r="J63" s="4">
        <v>868982</v>
      </c>
      <c r="K63" s="4" t="s">
        <v>427</v>
      </c>
      <c r="L63" s="4" t="s">
        <v>102</v>
      </c>
      <c r="M63" s="4" t="s">
        <v>18</v>
      </c>
      <c r="N63" s="4"/>
      <c r="O63" s="4"/>
      <c r="P63" s="4"/>
      <c r="Q63" s="4" t="s">
        <v>428</v>
      </c>
      <c r="R63" s="4">
        <v>700</v>
      </c>
      <c r="S63" s="4">
        <v>21428</v>
      </c>
      <c r="T63" s="4">
        <v>3895</v>
      </c>
      <c r="U63" s="4"/>
      <c r="V63" s="4">
        <v>1272</v>
      </c>
      <c r="W63" s="4">
        <v>5167</v>
      </c>
      <c r="X63" s="4">
        <v>85805</v>
      </c>
      <c r="Y63" s="4">
        <v>15</v>
      </c>
      <c r="Z63" s="4">
        <v>95770</v>
      </c>
      <c r="AA63" s="4">
        <v>1020</v>
      </c>
      <c r="AB63" s="4">
        <v>142755</v>
      </c>
      <c r="AC63" s="4" t="s">
        <v>153</v>
      </c>
      <c r="AD63" s="13" t="s">
        <v>104</v>
      </c>
      <c r="AE63" s="4"/>
      <c r="AF63" s="4"/>
      <c r="AG63" s="4"/>
      <c r="AH63" s="4"/>
      <c r="AI63" s="4"/>
      <c r="AJ63" s="4"/>
      <c r="AK63" s="4"/>
      <c r="AL63" s="4"/>
      <c r="AM63" s="4">
        <v>0</v>
      </c>
      <c r="AN63" s="4">
        <v>67993</v>
      </c>
      <c r="AO63" s="20"/>
      <c r="AP63" s="20"/>
      <c r="AQ63" s="20"/>
      <c r="AR63" s="20"/>
      <c r="AS63" s="20"/>
      <c r="AT63" s="20"/>
      <c r="AU63" s="20"/>
      <c r="AV63" s="11" t="str">
        <f t="shared" si="1"/>
        <v>-</v>
      </c>
    </row>
    <row r="64" spans="1:48" ht="48" x14ac:dyDescent="0.25">
      <c r="A64" s="4" t="s">
        <v>155</v>
      </c>
      <c r="B64" s="4" t="s">
        <v>35</v>
      </c>
      <c r="C64" s="4" t="s">
        <v>15</v>
      </c>
      <c r="D64" s="4">
        <v>6</v>
      </c>
      <c r="E64" s="4"/>
      <c r="F64" s="4" t="s">
        <v>429</v>
      </c>
      <c r="G64" s="4" t="s">
        <v>430</v>
      </c>
      <c r="H64" s="4" t="s">
        <v>431</v>
      </c>
      <c r="I64" s="4"/>
      <c r="J64" s="4">
        <v>219000</v>
      </c>
      <c r="K64" s="4" t="s">
        <v>151</v>
      </c>
      <c r="L64" s="4" t="s">
        <v>102</v>
      </c>
      <c r="M64" s="4" t="s">
        <v>14</v>
      </c>
      <c r="N64" s="4"/>
      <c r="O64" s="4"/>
      <c r="P64" s="4"/>
      <c r="Q64" s="4"/>
      <c r="R64" s="4">
        <v>200</v>
      </c>
      <c r="S64" s="4">
        <v>7082</v>
      </c>
      <c r="T64" s="4">
        <v>1340</v>
      </c>
      <c r="U64" s="4"/>
      <c r="V64" s="4">
        <v>512</v>
      </c>
      <c r="W64" s="4">
        <v>1852</v>
      </c>
      <c r="X64" s="4">
        <v>25000</v>
      </c>
      <c r="Y64" s="4">
        <v>4</v>
      </c>
      <c r="Z64" s="4">
        <v>36152</v>
      </c>
      <c r="AA64" s="4">
        <v>400</v>
      </c>
      <c r="AB64" s="4">
        <v>45084</v>
      </c>
      <c r="AC64" s="4" t="s">
        <v>306</v>
      </c>
      <c r="AD64" s="13" t="s">
        <v>313</v>
      </c>
      <c r="AE64" s="4"/>
      <c r="AF64" s="4"/>
      <c r="AG64" s="4"/>
      <c r="AH64" s="4"/>
      <c r="AI64" s="4"/>
      <c r="AJ64" s="4"/>
      <c r="AK64" s="4"/>
      <c r="AL64" s="4"/>
      <c r="AM64" s="4">
        <v>0</v>
      </c>
      <c r="AN64" s="4">
        <v>3550</v>
      </c>
      <c r="AO64" s="20"/>
      <c r="AP64" s="20"/>
      <c r="AQ64" s="20"/>
      <c r="AR64" s="20"/>
      <c r="AS64" s="20"/>
      <c r="AT64" s="20"/>
      <c r="AU64" s="20"/>
      <c r="AV64" s="11" t="str">
        <f t="shared" si="1"/>
        <v>-</v>
      </c>
    </row>
    <row r="65" spans="1:48" ht="36" x14ac:dyDescent="0.25">
      <c r="A65" s="4" t="s">
        <v>155</v>
      </c>
      <c r="B65" s="4" t="s">
        <v>35</v>
      </c>
      <c r="C65" s="4" t="s">
        <v>23</v>
      </c>
      <c r="D65" s="4">
        <v>6</v>
      </c>
      <c r="E65" s="4"/>
      <c r="F65" s="4" t="s">
        <v>432</v>
      </c>
      <c r="G65" s="4" t="s">
        <v>433</v>
      </c>
      <c r="H65" s="4" t="s">
        <v>434</v>
      </c>
      <c r="I65" s="4"/>
      <c r="J65" s="4">
        <v>395000</v>
      </c>
      <c r="K65" s="4" t="s">
        <v>435</v>
      </c>
      <c r="L65" s="4" t="s">
        <v>102</v>
      </c>
      <c r="M65" s="4" t="s">
        <v>14</v>
      </c>
      <c r="N65" s="4"/>
      <c r="O65" s="4"/>
      <c r="P65" s="4"/>
      <c r="Q65" s="4"/>
      <c r="R65" s="4">
        <v>159</v>
      </c>
      <c r="S65" s="4"/>
      <c r="T65" s="4">
        <v>1235</v>
      </c>
      <c r="U65" s="4"/>
      <c r="V65" s="4">
        <v>1052</v>
      </c>
      <c r="W65" s="4">
        <v>2287</v>
      </c>
      <c r="X65" s="4">
        <v>34000</v>
      </c>
      <c r="Y65" s="4">
        <v>4</v>
      </c>
      <c r="Z65" s="4">
        <v>149202</v>
      </c>
      <c r="AA65" s="4">
        <v>448</v>
      </c>
      <c r="AB65" s="4">
        <v>149202</v>
      </c>
      <c r="AC65" s="4" t="s">
        <v>436</v>
      </c>
      <c r="AD65" s="13" t="s">
        <v>261</v>
      </c>
      <c r="AE65" s="4"/>
      <c r="AF65" s="4"/>
      <c r="AG65" s="4"/>
      <c r="AH65" s="4"/>
      <c r="AI65" s="4"/>
      <c r="AJ65" s="4"/>
      <c r="AK65" s="4"/>
      <c r="AL65" s="4"/>
      <c r="AM65" s="4">
        <v>0</v>
      </c>
      <c r="AN65" s="4">
        <v>12178</v>
      </c>
      <c r="AO65" s="20"/>
      <c r="AP65" s="20"/>
      <c r="AQ65" s="20"/>
      <c r="AR65" s="20"/>
      <c r="AS65" s="20"/>
      <c r="AT65" s="20"/>
      <c r="AU65" s="20"/>
      <c r="AV65" s="11" t="str">
        <f t="shared" si="1"/>
        <v>-</v>
      </c>
    </row>
    <row r="66" spans="1:48" ht="60" x14ac:dyDescent="0.25">
      <c r="A66" s="4" t="s">
        <v>155</v>
      </c>
      <c r="B66" s="4" t="s">
        <v>35</v>
      </c>
      <c r="C66" s="4" t="s">
        <v>23</v>
      </c>
      <c r="D66" s="4">
        <v>7</v>
      </c>
      <c r="E66" s="4"/>
      <c r="F66" s="4" t="s">
        <v>437</v>
      </c>
      <c r="G66" s="4" t="s">
        <v>438</v>
      </c>
      <c r="H66" s="4" t="s">
        <v>406</v>
      </c>
      <c r="I66" s="4"/>
      <c r="J66" s="4">
        <v>45000</v>
      </c>
      <c r="K66" s="4" t="s">
        <v>439</v>
      </c>
      <c r="L66" s="4" t="s">
        <v>102</v>
      </c>
      <c r="M66" s="4" t="s">
        <v>14</v>
      </c>
      <c r="N66" s="4"/>
      <c r="O66" s="4"/>
      <c r="P66" s="4"/>
      <c r="Q66" s="4"/>
      <c r="R66" s="4">
        <v>30</v>
      </c>
      <c r="S66" s="4">
        <v>711</v>
      </c>
      <c r="T66" s="4">
        <v>164</v>
      </c>
      <c r="U66" s="4"/>
      <c r="V66" s="4">
        <v>124</v>
      </c>
      <c r="W66" s="4">
        <v>288</v>
      </c>
      <c r="X66" s="4">
        <v>4000</v>
      </c>
      <c r="Y66" s="4">
        <v>2</v>
      </c>
      <c r="Z66" s="4">
        <v>9327</v>
      </c>
      <c r="AA66" s="4">
        <v>104</v>
      </c>
      <c r="AB66" s="4">
        <v>12416</v>
      </c>
      <c r="AC66" s="4" t="s">
        <v>332</v>
      </c>
      <c r="AD66" s="13" t="s">
        <v>198</v>
      </c>
      <c r="AE66" s="4"/>
      <c r="AF66" s="4"/>
      <c r="AG66" s="4"/>
      <c r="AH66" s="4"/>
      <c r="AI66" s="4"/>
      <c r="AJ66" s="4"/>
      <c r="AK66" s="4"/>
      <c r="AL66" s="4"/>
      <c r="AM66" s="4">
        <v>0</v>
      </c>
      <c r="AN66" s="4">
        <v>3915</v>
      </c>
      <c r="AO66" s="20"/>
      <c r="AP66" s="20"/>
      <c r="AQ66" s="20"/>
      <c r="AR66" s="20"/>
      <c r="AS66" s="20"/>
      <c r="AT66" s="20"/>
      <c r="AU66" s="20"/>
      <c r="AV66" s="11" t="str">
        <f t="shared" ref="AV66:AV97" si="2">IF(A66="Awarded",IFERROR((N66-J66)/J66,"-"),"-")</f>
        <v>-</v>
      </c>
    </row>
    <row r="67" spans="1:48" ht="60" x14ac:dyDescent="0.25">
      <c r="A67" s="4" t="s">
        <v>155</v>
      </c>
      <c r="B67" s="4" t="s">
        <v>35</v>
      </c>
      <c r="C67" s="4" t="s">
        <v>23</v>
      </c>
      <c r="D67" s="4">
        <v>7</v>
      </c>
      <c r="E67" s="4"/>
      <c r="F67" s="4" t="s">
        <v>440</v>
      </c>
      <c r="G67" s="4" t="s">
        <v>441</v>
      </c>
      <c r="H67" s="4" t="s">
        <v>442</v>
      </c>
      <c r="I67" s="4"/>
      <c r="J67" s="4">
        <v>249564</v>
      </c>
      <c r="K67" s="4" t="s">
        <v>138</v>
      </c>
      <c r="L67" s="4" t="s">
        <v>102</v>
      </c>
      <c r="M67" s="4" t="s">
        <v>18</v>
      </c>
      <c r="N67" s="4"/>
      <c r="O67" s="4"/>
      <c r="P67" s="4"/>
      <c r="Q67" s="4" t="s">
        <v>443</v>
      </c>
      <c r="R67" s="4">
        <v>233</v>
      </c>
      <c r="S67" s="4">
        <v>8519</v>
      </c>
      <c r="T67" s="4">
        <v>1208</v>
      </c>
      <c r="U67" s="4"/>
      <c r="V67" s="4">
        <v>470</v>
      </c>
      <c r="W67" s="4">
        <v>1678</v>
      </c>
      <c r="X67" s="4">
        <v>29158</v>
      </c>
      <c r="Y67" s="4">
        <v>5</v>
      </c>
      <c r="Z67" s="4">
        <v>31107</v>
      </c>
      <c r="AA67" s="4">
        <v>400</v>
      </c>
      <c r="AB67" s="4">
        <v>51494</v>
      </c>
      <c r="AC67" s="4" t="s">
        <v>306</v>
      </c>
      <c r="AD67" s="13" t="s">
        <v>122</v>
      </c>
      <c r="AE67" s="4"/>
      <c r="AF67" s="4"/>
      <c r="AG67" s="4"/>
      <c r="AH67" s="4"/>
      <c r="AI67" s="4"/>
      <c r="AJ67" s="4"/>
      <c r="AK67" s="4"/>
      <c r="AL67" s="4"/>
      <c r="AM67" s="4">
        <v>0</v>
      </c>
      <c r="AN67" s="4">
        <v>16788</v>
      </c>
      <c r="AO67" s="20"/>
      <c r="AP67" s="20"/>
      <c r="AQ67" s="20"/>
      <c r="AR67" s="20"/>
      <c r="AS67" s="20"/>
      <c r="AT67" s="20"/>
      <c r="AU67" s="20"/>
      <c r="AV67" s="11" t="str">
        <f t="shared" si="2"/>
        <v>-</v>
      </c>
    </row>
    <row r="68" spans="1:48" ht="72" x14ac:dyDescent="0.25">
      <c r="A68" s="4" t="s">
        <v>155</v>
      </c>
      <c r="B68" s="4" t="s">
        <v>37</v>
      </c>
      <c r="C68" s="4" t="s">
        <v>15</v>
      </c>
      <c r="D68" s="4">
        <v>7</v>
      </c>
      <c r="E68" s="4"/>
      <c r="F68" s="4" t="s">
        <v>444</v>
      </c>
      <c r="G68" s="4" t="s">
        <v>445</v>
      </c>
      <c r="H68" s="4" t="s">
        <v>446</v>
      </c>
      <c r="I68" s="4"/>
      <c r="J68" s="4">
        <v>33700</v>
      </c>
      <c r="K68" s="4" t="s">
        <v>447</v>
      </c>
      <c r="L68" s="4" t="s">
        <v>102</v>
      </c>
      <c r="M68" s="4" t="s">
        <v>14</v>
      </c>
      <c r="N68" s="4"/>
      <c r="O68" s="4"/>
      <c r="P68" s="4"/>
      <c r="Q68" s="4"/>
      <c r="R68" s="4">
        <v>23</v>
      </c>
      <c r="S68" s="4">
        <v>738</v>
      </c>
      <c r="T68" s="4">
        <v>152</v>
      </c>
      <c r="U68" s="4"/>
      <c r="V68" s="4">
        <v>104</v>
      </c>
      <c r="W68" s="4">
        <v>256</v>
      </c>
      <c r="X68" s="4">
        <v>3000</v>
      </c>
      <c r="Y68" s="4">
        <v>1</v>
      </c>
      <c r="Z68" s="4">
        <v>7869</v>
      </c>
      <c r="AA68" s="4">
        <v>80</v>
      </c>
      <c r="AB68" s="4">
        <v>9346</v>
      </c>
      <c r="AC68" s="4" t="s">
        <v>332</v>
      </c>
      <c r="AD68" s="13" t="s">
        <v>104</v>
      </c>
      <c r="AE68" s="4"/>
      <c r="AF68" s="4"/>
      <c r="AG68" s="4"/>
      <c r="AH68" s="4"/>
      <c r="AI68" s="4"/>
      <c r="AJ68" s="4"/>
      <c r="AK68" s="4"/>
      <c r="AL68" s="4"/>
      <c r="AM68" s="4">
        <v>0</v>
      </c>
      <c r="AN68" s="4">
        <v>1865</v>
      </c>
      <c r="AO68" s="20"/>
      <c r="AP68" s="20"/>
      <c r="AQ68" s="20"/>
      <c r="AR68" s="20"/>
      <c r="AS68" s="20"/>
      <c r="AT68" s="20"/>
      <c r="AU68" s="20"/>
      <c r="AV68" s="11" t="str">
        <f t="shared" si="2"/>
        <v>-</v>
      </c>
    </row>
    <row r="69" spans="1:48" ht="36" x14ac:dyDescent="0.25">
      <c r="A69" s="4" t="s">
        <v>155</v>
      </c>
      <c r="B69" s="4" t="s">
        <v>37</v>
      </c>
      <c r="C69" s="4" t="s">
        <v>23</v>
      </c>
      <c r="D69" s="4">
        <v>7</v>
      </c>
      <c r="E69" s="4"/>
      <c r="F69" s="4" t="s">
        <v>448</v>
      </c>
      <c r="G69" s="4" t="s">
        <v>449</v>
      </c>
      <c r="H69" s="4" t="s">
        <v>450</v>
      </c>
      <c r="I69" s="4"/>
      <c r="J69" s="4">
        <v>223000</v>
      </c>
      <c r="K69" s="4" t="s">
        <v>138</v>
      </c>
      <c r="L69" s="4" t="s">
        <v>102</v>
      </c>
      <c r="M69" s="4" t="s">
        <v>12</v>
      </c>
      <c r="N69" s="4"/>
      <c r="O69" s="4"/>
      <c r="P69" s="4"/>
      <c r="Q69" s="4"/>
      <c r="R69" s="4">
        <v>127</v>
      </c>
      <c r="S69" s="4">
        <v>0</v>
      </c>
      <c r="T69" s="4">
        <v>950</v>
      </c>
      <c r="U69" s="4"/>
      <c r="V69" s="4">
        <v>462</v>
      </c>
      <c r="W69" s="4">
        <v>1412</v>
      </c>
      <c r="X69" s="4">
        <v>25951</v>
      </c>
      <c r="Y69" s="4">
        <v>5</v>
      </c>
      <c r="Z69" s="4">
        <v>39300</v>
      </c>
      <c r="AA69" s="4">
        <v>352</v>
      </c>
      <c r="AB69" s="4">
        <v>75915</v>
      </c>
      <c r="AC69" s="4" t="s">
        <v>451</v>
      </c>
      <c r="AD69" s="13" t="s">
        <v>452</v>
      </c>
      <c r="AE69" s="4"/>
      <c r="AF69" s="4"/>
      <c r="AG69" s="4"/>
      <c r="AH69" s="4"/>
      <c r="AI69" s="4"/>
      <c r="AJ69" s="4"/>
      <c r="AK69" s="4"/>
      <c r="AL69" s="4"/>
      <c r="AM69" s="4">
        <v>0</v>
      </c>
      <c r="AN69" s="4">
        <v>8963</v>
      </c>
      <c r="AO69" s="20"/>
      <c r="AP69" s="20"/>
      <c r="AQ69" s="20"/>
      <c r="AR69" s="20"/>
      <c r="AS69" s="20"/>
      <c r="AT69" s="20"/>
      <c r="AU69" s="20"/>
      <c r="AV69" s="11" t="str">
        <f t="shared" si="2"/>
        <v>-</v>
      </c>
    </row>
    <row r="70" spans="1:48" ht="36" x14ac:dyDescent="0.25">
      <c r="A70" s="4" t="s">
        <v>155</v>
      </c>
      <c r="B70" s="4" t="s">
        <v>37</v>
      </c>
      <c r="C70" s="4" t="s">
        <v>15</v>
      </c>
      <c r="D70" s="4">
        <v>7</v>
      </c>
      <c r="E70" s="4"/>
      <c r="F70" s="4" t="s">
        <v>453</v>
      </c>
      <c r="G70" s="4" t="s">
        <v>454</v>
      </c>
      <c r="H70" s="4" t="s">
        <v>450</v>
      </c>
      <c r="I70" s="4"/>
      <c r="J70" s="4">
        <v>1191500</v>
      </c>
      <c r="K70" s="4" t="s">
        <v>163</v>
      </c>
      <c r="L70" s="4" t="s">
        <v>102</v>
      </c>
      <c r="M70" s="4" t="s">
        <v>22</v>
      </c>
      <c r="N70" s="4"/>
      <c r="O70" s="4"/>
      <c r="P70" s="4"/>
      <c r="Q70" s="4"/>
      <c r="R70" s="4">
        <v>1495</v>
      </c>
      <c r="S70" s="4">
        <v>43888</v>
      </c>
      <c r="T70" s="4">
        <v>4768</v>
      </c>
      <c r="U70" s="4"/>
      <c r="V70" s="4">
        <v>2152</v>
      </c>
      <c r="W70" s="4">
        <v>6920</v>
      </c>
      <c r="X70" s="4">
        <v>122873</v>
      </c>
      <c r="Y70" s="4">
        <v>12</v>
      </c>
      <c r="Z70" s="4">
        <v>155272</v>
      </c>
      <c r="AA70" s="4">
        <v>1344</v>
      </c>
      <c r="AB70" s="4">
        <v>190641</v>
      </c>
      <c r="AC70" s="4" t="s">
        <v>153</v>
      </c>
      <c r="AD70" s="13" t="s">
        <v>455</v>
      </c>
      <c r="AE70" s="4"/>
      <c r="AF70" s="4"/>
      <c r="AG70" s="4"/>
      <c r="AH70" s="4"/>
      <c r="AI70" s="4"/>
      <c r="AJ70" s="4"/>
      <c r="AK70" s="4"/>
      <c r="AL70" s="4"/>
      <c r="AM70" s="4">
        <v>0</v>
      </c>
      <c r="AN70" s="4">
        <v>63576</v>
      </c>
      <c r="AO70" s="20"/>
      <c r="AP70" s="20"/>
      <c r="AQ70" s="20"/>
      <c r="AR70" s="20"/>
      <c r="AS70" s="20"/>
      <c r="AT70" s="20"/>
      <c r="AU70" s="20"/>
      <c r="AV70" s="11" t="str">
        <f t="shared" si="2"/>
        <v>-</v>
      </c>
    </row>
    <row r="71" spans="1:48" ht="36" x14ac:dyDescent="0.25">
      <c r="A71" s="4" t="s">
        <v>155</v>
      </c>
      <c r="B71" s="4" t="s">
        <v>37</v>
      </c>
      <c r="C71" s="4" t="s">
        <v>15</v>
      </c>
      <c r="D71" s="4">
        <v>7</v>
      </c>
      <c r="E71" s="4"/>
      <c r="F71" s="4" t="s">
        <v>456</v>
      </c>
      <c r="G71" s="4" t="s">
        <v>457</v>
      </c>
      <c r="H71" s="4" t="s">
        <v>450</v>
      </c>
      <c r="I71" s="4"/>
      <c r="J71" s="4">
        <v>425000</v>
      </c>
      <c r="K71" s="4" t="s">
        <v>163</v>
      </c>
      <c r="L71" s="4" t="s">
        <v>102</v>
      </c>
      <c r="M71" s="4" t="s">
        <v>22</v>
      </c>
      <c r="N71" s="4"/>
      <c r="O71" s="4"/>
      <c r="P71" s="4"/>
      <c r="Q71" s="4"/>
      <c r="R71" s="4">
        <v>780</v>
      </c>
      <c r="S71" s="4">
        <v>31787</v>
      </c>
      <c r="T71" s="4">
        <v>1469</v>
      </c>
      <c r="U71" s="4"/>
      <c r="V71" s="4">
        <v>638</v>
      </c>
      <c r="W71" s="4">
        <v>2107</v>
      </c>
      <c r="X71" s="4">
        <v>39635</v>
      </c>
      <c r="Y71" s="4">
        <v>3</v>
      </c>
      <c r="Z71" s="4">
        <v>49184</v>
      </c>
      <c r="AA71" s="4">
        <v>448</v>
      </c>
      <c r="AB71" s="4">
        <v>70864</v>
      </c>
      <c r="AC71" s="4" t="s">
        <v>146</v>
      </c>
      <c r="AD71" s="13" t="s">
        <v>455</v>
      </c>
      <c r="AE71" s="4"/>
      <c r="AF71" s="4"/>
      <c r="AG71" s="4"/>
      <c r="AH71" s="4"/>
      <c r="AI71" s="4"/>
      <c r="AJ71" s="4"/>
      <c r="AK71" s="4"/>
      <c r="AL71" s="4"/>
      <c r="AM71" s="4">
        <v>0</v>
      </c>
      <c r="AN71" s="4">
        <v>17025</v>
      </c>
      <c r="AO71" s="20"/>
      <c r="AP71" s="20"/>
      <c r="AQ71" s="20"/>
      <c r="AR71" s="20"/>
      <c r="AS71" s="20"/>
      <c r="AT71" s="20"/>
      <c r="AU71" s="20"/>
      <c r="AV71" s="11" t="str">
        <f t="shared" si="2"/>
        <v>-</v>
      </c>
    </row>
    <row r="72" spans="1:48" ht="72" x14ac:dyDescent="0.25">
      <c r="A72" s="4" t="s">
        <v>155</v>
      </c>
      <c r="B72" s="4" t="s">
        <v>37</v>
      </c>
      <c r="C72" s="4" t="s">
        <v>19</v>
      </c>
      <c r="D72" s="4">
        <v>7</v>
      </c>
      <c r="E72" s="4"/>
      <c r="F72" s="4" t="s">
        <v>458</v>
      </c>
      <c r="G72" s="4" t="s">
        <v>459</v>
      </c>
      <c r="H72" s="4" t="s">
        <v>460</v>
      </c>
      <c r="I72" s="4"/>
      <c r="J72" s="4">
        <v>3555000</v>
      </c>
      <c r="K72" s="4" t="s">
        <v>112</v>
      </c>
      <c r="L72" s="4" t="s">
        <v>102</v>
      </c>
      <c r="M72" s="4" t="s">
        <v>22</v>
      </c>
      <c r="N72" s="4"/>
      <c r="O72" s="4"/>
      <c r="P72" s="4"/>
      <c r="Q72" s="13" t="s">
        <v>461</v>
      </c>
      <c r="R72" s="4">
        <v>5020</v>
      </c>
      <c r="S72" s="4">
        <v>169565</v>
      </c>
      <c r="T72" s="4">
        <v>9842</v>
      </c>
      <c r="U72" s="4"/>
      <c r="V72" s="4">
        <v>5012</v>
      </c>
      <c r="W72" s="4">
        <v>14854</v>
      </c>
      <c r="X72" s="4">
        <v>263690</v>
      </c>
      <c r="Y72" s="4">
        <v>26</v>
      </c>
      <c r="Z72" s="4">
        <v>360566</v>
      </c>
      <c r="AA72" s="4">
        <v>3328</v>
      </c>
      <c r="AB72" s="4">
        <v>516513</v>
      </c>
      <c r="AC72" s="4" t="s">
        <v>204</v>
      </c>
      <c r="AD72" s="13" t="s">
        <v>104</v>
      </c>
      <c r="AE72" s="4"/>
      <c r="AF72" s="4"/>
      <c r="AG72" s="4"/>
      <c r="AH72" s="4"/>
      <c r="AI72" s="4"/>
      <c r="AJ72" s="4"/>
      <c r="AK72" s="4"/>
      <c r="AL72" s="4"/>
      <c r="AM72" s="4">
        <v>0</v>
      </c>
      <c r="AN72" s="4">
        <v>265524</v>
      </c>
      <c r="AO72" s="20"/>
      <c r="AP72" s="20"/>
      <c r="AQ72" s="20"/>
      <c r="AR72" s="20"/>
      <c r="AS72" s="20"/>
      <c r="AT72" s="20"/>
      <c r="AU72" s="20"/>
      <c r="AV72" s="11" t="str">
        <f t="shared" si="2"/>
        <v>-</v>
      </c>
    </row>
    <row r="73" spans="1:48" ht="60" x14ac:dyDescent="0.25">
      <c r="A73" s="4" t="s">
        <v>155</v>
      </c>
      <c r="B73" s="4" t="s">
        <v>35</v>
      </c>
      <c r="C73" s="4" t="s">
        <v>30</v>
      </c>
      <c r="D73" s="4">
        <v>7</v>
      </c>
      <c r="E73" s="4"/>
      <c r="F73" s="4" t="s">
        <v>462</v>
      </c>
      <c r="G73" s="4" t="s">
        <v>463</v>
      </c>
      <c r="H73" s="4" t="s">
        <v>464</v>
      </c>
      <c r="I73" s="4"/>
      <c r="J73" s="4">
        <v>2187000</v>
      </c>
      <c r="K73" s="4" t="s">
        <v>465</v>
      </c>
      <c r="L73" s="4" t="s">
        <v>102</v>
      </c>
      <c r="M73" s="4" t="s">
        <v>14</v>
      </c>
      <c r="N73" s="4"/>
      <c r="O73" s="4"/>
      <c r="P73" s="4"/>
      <c r="Q73" s="4"/>
      <c r="R73" s="4">
        <v>1830</v>
      </c>
      <c r="S73" s="4">
        <v>38422</v>
      </c>
      <c r="T73" s="4">
        <v>6747</v>
      </c>
      <c r="U73" s="4"/>
      <c r="V73" s="4">
        <v>3500</v>
      </c>
      <c r="W73" s="4">
        <v>10247</v>
      </c>
      <c r="X73" s="4">
        <v>200000</v>
      </c>
      <c r="Y73" s="4">
        <v>16</v>
      </c>
      <c r="Z73" s="4">
        <v>282361</v>
      </c>
      <c r="AA73" s="4">
        <v>2304</v>
      </c>
      <c r="AB73" s="4">
        <v>470461</v>
      </c>
      <c r="AC73" s="4" t="s">
        <v>121</v>
      </c>
      <c r="AD73" s="13" t="s">
        <v>466</v>
      </c>
      <c r="AE73" s="4"/>
      <c r="AF73" s="4"/>
      <c r="AG73" s="4"/>
      <c r="AH73" s="4"/>
      <c r="AI73" s="4"/>
      <c r="AJ73" s="4"/>
      <c r="AK73" s="4"/>
      <c r="AL73" s="4"/>
      <c r="AM73" s="4">
        <v>0</v>
      </c>
      <c r="AN73" s="4">
        <v>157651</v>
      </c>
      <c r="AO73" s="20"/>
      <c r="AP73" s="20"/>
      <c r="AQ73" s="20"/>
      <c r="AR73" s="20"/>
      <c r="AS73" s="20"/>
      <c r="AT73" s="20"/>
      <c r="AU73" s="20"/>
      <c r="AV73" s="11" t="str">
        <f t="shared" si="2"/>
        <v>-</v>
      </c>
    </row>
    <row r="74" spans="1:48" ht="36" x14ac:dyDescent="0.25">
      <c r="A74" s="4" t="s">
        <v>155</v>
      </c>
      <c r="B74" s="4" t="s">
        <v>37</v>
      </c>
      <c r="C74" s="4" t="s">
        <v>17</v>
      </c>
      <c r="D74" s="4">
        <v>7</v>
      </c>
      <c r="E74" s="4"/>
      <c r="F74" s="4" t="s">
        <v>467</v>
      </c>
      <c r="G74" s="4" t="s">
        <v>468</v>
      </c>
      <c r="H74" s="4" t="s">
        <v>469</v>
      </c>
      <c r="I74" s="4"/>
      <c r="J74" s="4">
        <v>773000</v>
      </c>
      <c r="K74" s="4" t="s">
        <v>470</v>
      </c>
      <c r="L74" s="4" t="s">
        <v>102</v>
      </c>
      <c r="M74" s="4" t="s">
        <v>16</v>
      </c>
      <c r="N74" s="4"/>
      <c r="O74" s="4"/>
      <c r="P74" s="4"/>
      <c r="Q74" s="4"/>
      <c r="R74" s="4">
        <v>927</v>
      </c>
      <c r="S74" s="4">
        <v>39750</v>
      </c>
      <c r="T74" s="4">
        <v>5464</v>
      </c>
      <c r="U74" s="4"/>
      <c r="V74" s="4">
        <v>1744</v>
      </c>
      <c r="W74" s="4">
        <v>7208</v>
      </c>
      <c r="X74" s="4">
        <v>67216</v>
      </c>
      <c r="Y74" s="4">
        <v>12</v>
      </c>
      <c r="Z74" s="4">
        <v>0</v>
      </c>
      <c r="AA74" s="4">
        <v>1336</v>
      </c>
      <c r="AB74" s="4">
        <v>159814</v>
      </c>
      <c r="AC74" s="4" t="s">
        <v>306</v>
      </c>
      <c r="AD74" s="13" t="s">
        <v>471</v>
      </c>
      <c r="AE74" s="4"/>
      <c r="AF74" s="4"/>
      <c r="AG74" s="4"/>
      <c r="AH74" s="4"/>
      <c r="AI74" s="4"/>
      <c r="AJ74" s="4"/>
      <c r="AK74" s="4"/>
      <c r="AL74" s="4"/>
      <c r="AM74" s="4">
        <v>0</v>
      </c>
      <c r="AN74" s="4">
        <v>56298</v>
      </c>
      <c r="AO74" s="20"/>
      <c r="AP74" s="20"/>
      <c r="AQ74" s="20"/>
      <c r="AR74" s="20"/>
      <c r="AS74" s="20"/>
      <c r="AT74" s="20"/>
      <c r="AU74" s="20"/>
      <c r="AV74" s="11" t="str">
        <f t="shared" si="2"/>
        <v>-</v>
      </c>
    </row>
    <row r="75" spans="1:48" ht="60" x14ac:dyDescent="0.25">
      <c r="A75" s="4" t="s">
        <v>155</v>
      </c>
      <c r="B75" s="4" t="s">
        <v>35</v>
      </c>
      <c r="C75" s="4" t="s">
        <v>23</v>
      </c>
      <c r="D75" s="4">
        <v>8</v>
      </c>
      <c r="E75" s="4"/>
      <c r="F75" s="4" t="s">
        <v>472</v>
      </c>
      <c r="G75" s="4" t="s">
        <v>473</v>
      </c>
      <c r="H75" s="4" t="s">
        <v>474</v>
      </c>
      <c r="I75" s="4"/>
      <c r="J75" s="4">
        <v>124700</v>
      </c>
      <c r="K75" s="4" t="s">
        <v>138</v>
      </c>
      <c r="L75" s="4" t="s">
        <v>102</v>
      </c>
      <c r="M75" s="4" t="s">
        <v>14</v>
      </c>
      <c r="N75" s="4"/>
      <c r="O75" s="4"/>
      <c r="P75" s="4"/>
      <c r="Q75" s="4"/>
      <c r="R75" s="4">
        <v>26</v>
      </c>
      <c r="S75" s="4">
        <v>1285</v>
      </c>
      <c r="T75" s="4">
        <v>574</v>
      </c>
      <c r="U75" s="4"/>
      <c r="V75" s="4">
        <v>336</v>
      </c>
      <c r="W75" s="4">
        <v>910</v>
      </c>
      <c r="X75" s="4">
        <v>12000</v>
      </c>
      <c r="Y75" s="4">
        <v>3</v>
      </c>
      <c r="Z75" s="4">
        <v>25819</v>
      </c>
      <c r="AA75" s="4">
        <v>304</v>
      </c>
      <c r="AB75" s="4">
        <v>27761</v>
      </c>
      <c r="AC75" s="4" t="s">
        <v>121</v>
      </c>
      <c r="AD75" s="13" t="s">
        <v>122</v>
      </c>
      <c r="AE75" s="4"/>
      <c r="AF75" s="4"/>
      <c r="AG75" s="4"/>
      <c r="AH75" s="4"/>
      <c r="AI75" s="4"/>
      <c r="AJ75" s="4"/>
      <c r="AK75" s="4"/>
      <c r="AL75" s="4"/>
      <c r="AM75" s="4">
        <v>0</v>
      </c>
      <c r="AN75" s="4">
        <v>18778</v>
      </c>
      <c r="AO75" s="20"/>
      <c r="AP75" s="20"/>
      <c r="AQ75" s="20"/>
      <c r="AR75" s="20"/>
      <c r="AS75" s="20"/>
      <c r="AT75" s="20"/>
      <c r="AU75" s="20"/>
      <c r="AV75" s="11" t="str">
        <f t="shared" si="2"/>
        <v>-</v>
      </c>
    </row>
    <row r="76" spans="1:48" ht="60" x14ac:dyDescent="0.25">
      <c r="A76" s="4" t="s">
        <v>155</v>
      </c>
      <c r="B76" s="4" t="s">
        <v>37</v>
      </c>
      <c r="C76" s="4" t="s">
        <v>23</v>
      </c>
      <c r="D76" s="4">
        <v>8</v>
      </c>
      <c r="E76" s="4"/>
      <c r="F76" s="4" t="s">
        <v>475</v>
      </c>
      <c r="G76" s="4" t="s">
        <v>476</v>
      </c>
      <c r="H76" s="4" t="s">
        <v>477</v>
      </c>
      <c r="I76" s="4"/>
      <c r="J76" s="4">
        <v>826122</v>
      </c>
      <c r="K76" s="4" t="s">
        <v>478</v>
      </c>
      <c r="L76" s="4" t="s">
        <v>102</v>
      </c>
      <c r="M76" s="4" t="s">
        <v>18</v>
      </c>
      <c r="N76" s="4"/>
      <c r="O76" s="4"/>
      <c r="P76" s="4"/>
      <c r="Q76" s="13" t="s">
        <v>479</v>
      </c>
      <c r="R76" s="4">
        <v>1252</v>
      </c>
      <c r="S76" s="4">
        <v>37201</v>
      </c>
      <c r="T76" s="4">
        <v>3061</v>
      </c>
      <c r="U76" s="4"/>
      <c r="V76" s="4">
        <v>1060</v>
      </c>
      <c r="W76" s="4">
        <v>4121</v>
      </c>
      <c r="X76" s="4">
        <v>74570</v>
      </c>
      <c r="Y76" s="4">
        <v>10</v>
      </c>
      <c r="Z76" s="4">
        <v>78658</v>
      </c>
      <c r="AA76" s="4">
        <v>920</v>
      </c>
      <c r="AB76" s="4">
        <v>117851</v>
      </c>
      <c r="AC76" s="4" t="s">
        <v>123</v>
      </c>
      <c r="AD76" s="13" t="s">
        <v>480</v>
      </c>
      <c r="AE76" s="4"/>
      <c r="AF76" s="4"/>
      <c r="AG76" s="4"/>
      <c r="AH76" s="4"/>
      <c r="AI76" s="4"/>
      <c r="AJ76" s="4"/>
      <c r="AK76" s="4"/>
      <c r="AL76" s="4"/>
      <c r="AM76" s="4">
        <v>0</v>
      </c>
      <c r="AN76" s="4">
        <v>82647</v>
      </c>
      <c r="AO76" s="20"/>
      <c r="AP76" s="20"/>
      <c r="AQ76" s="20"/>
      <c r="AR76" s="20"/>
      <c r="AS76" s="20"/>
      <c r="AT76" s="20"/>
      <c r="AU76" s="20"/>
      <c r="AV76" s="11" t="str">
        <f t="shared" si="2"/>
        <v>-</v>
      </c>
    </row>
    <row r="77" spans="1:48" ht="72" x14ac:dyDescent="0.25">
      <c r="A77" s="4" t="s">
        <v>155</v>
      </c>
      <c r="B77" s="4" t="s">
        <v>35</v>
      </c>
      <c r="C77" s="4" t="s">
        <v>17</v>
      </c>
      <c r="D77" s="4">
        <v>8</v>
      </c>
      <c r="E77" s="4"/>
      <c r="F77" s="4" t="s">
        <v>481</v>
      </c>
      <c r="G77" s="4" t="s">
        <v>482</v>
      </c>
      <c r="H77" s="4" t="s">
        <v>483</v>
      </c>
      <c r="I77" s="4"/>
      <c r="J77" s="4">
        <v>997000</v>
      </c>
      <c r="K77" s="4" t="s">
        <v>338</v>
      </c>
      <c r="L77" s="4" t="s">
        <v>102</v>
      </c>
      <c r="M77" s="4" t="s">
        <v>22</v>
      </c>
      <c r="N77" s="4"/>
      <c r="O77" s="4"/>
      <c r="P77" s="4"/>
      <c r="Q77" s="4"/>
      <c r="R77" s="4">
        <v>1336</v>
      </c>
      <c r="S77" s="4">
        <v>41044</v>
      </c>
      <c r="T77" s="4">
        <v>3726</v>
      </c>
      <c r="U77" s="4"/>
      <c r="V77" s="4">
        <v>1225</v>
      </c>
      <c r="W77" s="4">
        <v>4951</v>
      </c>
      <c r="X77" s="4">
        <v>73669</v>
      </c>
      <c r="Y77" s="4">
        <v>11</v>
      </c>
      <c r="Z77" s="4">
        <v>89692</v>
      </c>
      <c r="AA77" s="4">
        <v>859</v>
      </c>
      <c r="AB77" s="4">
        <v>151674</v>
      </c>
      <c r="AC77" s="4" t="s">
        <v>204</v>
      </c>
      <c r="AD77" s="13" t="s">
        <v>104</v>
      </c>
      <c r="AE77" s="4"/>
      <c r="AF77" s="4"/>
      <c r="AG77" s="4"/>
      <c r="AH77" s="4"/>
      <c r="AI77" s="4"/>
      <c r="AJ77" s="4"/>
      <c r="AK77" s="4"/>
      <c r="AL77" s="4"/>
      <c r="AM77" s="4">
        <v>0</v>
      </c>
      <c r="AN77" s="4">
        <v>73966</v>
      </c>
      <c r="AO77" s="20"/>
      <c r="AP77" s="20"/>
      <c r="AQ77" s="20"/>
      <c r="AR77" s="20"/>
      <c r="AS77" s="20"/>
      <c r="AT77" s="20"/>
      <c r="AU77" s="20"/>
      <c r="AV77" s="11" t="str">
        <f t="shared" si="2"/>
        <v>-</v>
      </c>
    </row>
    <row r="78" spans="1:48" ht="36" x14ac:dyDescent="0.25">
      <c r="A78" s="8" t="s">
        <v>2</v>
      </c>
      <c r="B78" s="8" t="s">
        <v>35</v>
      </c>
      <c r="C78" s="8" t="s">
        <v>23</v>
      </c>
      <c r="D78" s="8">
        <v>8</v>
      </c>
      <c r="E78" s="8" t="s">
        <v>484</v>
      </c>
      <c r="F78" s="8" t="s">
        <v>485</v>
      </c>
      <c r="G78" s="8" t="s">
        <v>486</v>
      </c>
      <c r="H78" s="8" t="s">
        <v>487</v>
      </c>
      <c r="I78" s="8" t="s">
        <v>488</v>
      </c>
      <c r="J78" s="8">
        <v>95000</v>
      </c>
      <c r="K78" s="8" t="s">
        <v>343</v>
      </c>
      <c r="L78" s="8" t="s">
        <v>102</v>
      </c>
      <c r="M78" s="8" t="s">
        <v>14</v>
      </c>
      <c r="N78" s="8">
        <v>95000</v>
      </c>
      <c r="O78" s="8">
        <v>9000</v>
      </c>
      <c r="P78" s="8">
        <v>488</v>
      </c>
      <c r="Q78" s="8"/>
      <c r="R78" s="8">
        <v>64</v>
      </c>
      <c r="S78" s="8">
        <v>328</v>
      </c>
      <c r="T78" s="8">
        <v>236</v>
      </c>
      <c r="U78" s="8"/>
      <c r="V78" s="8">
        <v>252</v>
      </c>
      <c r="W78" s="8">
        <v>488</v>
      </c>
      <c r="X78" s="8">
        <v>9000</v>
      </c>
      <c r="Y78" s="8">
        <v>2</v>
      </c>
      <c r="Z78" s="8">
        <v>18690</v>
      </c>
      <c r="AA78" s="8">
        <v>168</v>
      </c>
      <c r="AB78" s="8">
        <v>31810</v>
      </c>
      <c r="AC78" s="8" t="s">
        <v>489</v>
      </c>
      <c r="AD78" s="9" t="s">
        <v>261</v>
      </c>
      <c r="AE78" s="8">
        <v>641.5</v>
      </c>
      <c r="AF78" s="8">
        <v>122756</v>
      </c>
      <c r="AG78" s="8">
        <v>5000</v>
      </c>
      <c r="AH78" s="8">
        <v>127756</v>
      </c>
      <c r="AI78" s="8" t="s">
        <v>490</v>
      </c>
      <c r="AJ78" s="8" t="s">
        <v>106</v>
      </c>
      <c r="AK78" s="10">
        <v>45931</v>
      </c>
      <c r="AL78" s="8"/>
      <c r="AM78" s="8">
        <v>0</v>
      </c>
      <c r="AN78" s="8">
        <v>10540</v>
      </c>
      <c r="AO78" s="20"/>
      <c r="AP78" s="20"/>
      <c r="AQ78" s="20"/>
      <c r="AR78" s="20"/>
      <c r="AS78" s="20"/>
      <c r="AT78" s="20"/>
      <c r="AU78" s="20"/>
      <c r="AV78" s="11">
        <f t="shared" si="2"/>
        <v>0</v>
      </c>
    </row>
    <row r="79" spans="1:48" ht="36" x14ac:dyDescent="0.25">
      <c r="A79" s="4" t="s">
        <v>155</v>
      </c>
      <c r="B79" s="4" t="s">
        <v>35</v>
      </c>
      <c r="C79" s="4" t="s">
        <v>23</v>
      </c>
      <c r="D79" s="4">
        <v>8</v>
      </c>
      <c r="E79" s="4"/>
      <c r="F79" s="4" t="s">
        <v>491</v>
      </c>
      <c r="G79" s="4" t="s">
        <v>492</v>
      </c>
      <c r="H79" s="4" t="s">
        <v>493</v>
      </c>
      <c r="I79" s="4"/>
      <c r="J79" s="4">
        <v>53750</v>
      </c>
      <c r="K79" s="4" t="s">
        <v>325</v>
      </c>
      <c r="L79" s="4" t="s">
        <v>102</v>
      </c>
      <c r="M79" s="4" t="s">
        <v>14</v>
      </c>
      <c r="N79" s="4"/>
      <c r="O79" s="4"/>
      <c r="P79" s="4"/>
      <c r="Q79" s="4"/>
      <c r="R79" s="4">
        <v>14</v>
      </c>
      <c r="S79" s="4">
        <v>16</v>
      </c>
      <c r="T79" s="4">
        <v>172</v>
      </c>
      <c r="U79" s="4"/>
      <c r="V79" s="4">
        <v>138</v>
      </c>
      <c r="W79" s="4">
        <v>310</v>
      </c>
      <c r="X79" s="4">
        <v>5000</v>
      </c>
      <c r="Y79" s="4">
        <v>1</v>
      </c>
      <c r="Z79" s="4">
        <v>10308</v>
      </c>
      <c r="AA79" s="4">
        <v>112</v>
      </c>
      <c r="AB79" s="4">
        <v>17649</v>
      </c>
      <c r="AC79" s="4" t="s">
        <v>489</v>
      </c>
      <c r="AD79" s="13" t="s">
        <v>261</v>
      </c>
      <c r="AE79" s="4"/>
      <c r="AF79" s="4"/>
      <c r="AG79" s="4"/>
      <c r="AH79" s="4"/>
      <c r="AI79" s="4"/>
      <c r="AJ79" s="4"/>
      <c r="AK79" s="4"/>
      <c r="AL79" s="4"/>
      <c r="AM79" s="4">
        <v>0</v>
      </c>
      <c r="AN79" s="4">
        <v>1900</v>
      </c>
      <c r="AO79" s="20"/>
      <c r="AP79" s="20"/>
      <c r="AQ79" s="20"/>
      <c r="AR79" s="20"/>
      <c r="AS79" s="20"/>
      <c r="AT79" s="20"/>
      <c r="AU79" s="20"/>
      <c r="AV79" s="11" t="str">
        <f t="shared" si="2"/>
        <v>-</v>
      </c>
    </row>
    <row r="80" spans="1:48" ht="24" x14ac:dyDescent="0.25">
      <c r="A80" s="4" t="s">
        <v>155</v>
      </c>
      <c r="B80" s="4" t="s">
        <v>37</v>
      </c>
      <c r="C80" s="4" t="s">
        <v>27</v>
      </c>
      <c r="D80" s="4">
        <v>9</v>
      </c>
      <c r="E80" s="4"/>
      <c r="F80" s="4" t="s">
        <v>494</v>
      </c>
      <c r="G80" s="4" t="s">
        <v>495</v>
      </c>
      <c r="H80" s="4" t="s">
        <v>496</v>
      </c>
      <c r="I80" s="4"/>
      <c r="J80" s="4">
        <v>3125795</v>
      </c>
      <c r="K80" s="4" t="s">
        <v>178</v>
      </c>
      <c r="L80" s="4" t="s">
        <v>102</v>
      </c>
      <c r="M80" s="4" t="s">
        <v>28</v>
      </c>
      <c r="N80" s="4"/>
      <c r="O80" s="4"/>
      <c r="P80" s="4"/>
      <c r="Q80" s="4"/>
      <c r="R80" s="4">
        <v>8224</v>
      </c>
      <c r="S80" s="4">
        <v>310793</v>
      </c>
      <c r="T80" s="4">
        <v>9371</v>
      </c>
      <c r="U80" s="4"/>
      <c r="V80" s="4">
        <v>1832</v>
      </c>
      <c r="W80" s="4">
        <v>11203</v>
      </c>
      <c r="X80" s="4">
        <v>205327</v>
      </c>
      <c r="Y80" s="4">
        <v>14</v>
      </c>
      <c r="Z80" s="4">
        <v>165987</v>
      </c>
      <c r="AA80" s="4">
        <v>1544</v>
      </c>
      <c r="AB80" s="4">
        <v>261807</v>
      </c>
      <c r="AC80" s="4" t="s">
        <v>400</v>
      </c>
      <c r="AD80" s="13" t="s">
        <v>497</v>
      </c>
      <c r="AE80" s="4"/>
      <c r="AF80" s="4"/>
      <c r="AG80" s="4"/>
      <c r="AH80" s="4"/>
      <c r="AI80" s="4"/>
      <c r="AJ80" s="4"/>
      <c r="AK80" s="4"/>
      <c r="AL80" s="4"/>
      <c r="AM80" s="4">
        <v>0</v>
      </c>
      <c r="AN80" s="4">
        <v>104555</v>
      </c>
      <c r="AO80" s="20"/>
      <c r="AP80" s="20"/>
      <c r="AQ80" s="20"/>
      <c r="AR80" s="20"/>
      <c r="AS80" s="20"/>
      <c r="AT80" s="20"/>
      <c r="AU80" s="20"/>
      <c r="AV80" s="11" t="str">
        <f t="shared" si="2"/>
        <v>-</v>
      </c>
    </row>
    <row r="81" spans="1:48" ht="60" x14ac:dyDescent="0.25">
      <c r="A81" s="8" t="s">
        <v>2</v>
      </c>
      <c r="B81" s="8" t="s">
        <v>35</v>
      </c>
      <c r="C81" s="8" t="s">
        <v>27</v>
      </c>
      <c r="D81" s="8">
        <v>9</v>
      </c>
      <c r="E81" s="8" t="s">
        <v>498</v>
      </c>
      <c r="F81" s="8" t="s">
        <v>499</v>
      </c>
      <c r="G81" s="8" t="s">
        <v>500</v>
      </c>
      <c r="H81" s="8" t="s">
        <v>501</v>
      </c>
      <c r="I81" s="8" t="s">
        <v>502</v>
      </c>
      <c r="J81" s="8">
        <v>113493</v>
      </c>
      <c r="K81" s="8" t="s">
        <v>439</v>
      </c>
      <c r="L81" s="8" t="s">
        <v>102</v>
      </c>
      <c r="M81" s="8" t="s">
        <v>18</v>
      </c>
      <c r="N81" s="8">
        <v>113493</v>
      </c>
      <c r="O81" s="8">
        <v>14640</v>
      </c>
      <c r="P81" s="8">
        <v>732</v>
      </c>
      <c r="Q81" s="8"/>
      <c r="R81" s="8">
        <v>74</v>
      </c>
      <c r="S81" s="8">
        <v>1335</v>
      </c>
      <c r="T81" s="8">
        <v>436</v>
      </c>
      <c r="U81" s="8"/>
      <c r="V81" s="8">
        <v>296</v>
      </c>
      <c r="W81" s="8">
        <v>732</v>
      </c>
      <c r="X81" s="8">
        <v>14640</v>
      </c>
      <c r="Y81" s="8">
        <v>3</v>
      </c>
      <c r="Z81" s="8">
        <v>22778</v>
      </c>
      <c r="AA81" s="8">
        <v>0</v>
      </c>
      <c r="AB81" s="8">
        <v>27583</v>
      </c>
      <c r="AC81" s="8" t="s">
        <v>159</v>
      </c>
      <c r="AD81" s="9" t="s">
        <v>503</v>
      </c>
      <c r="AE81" s="8">
        <v>773</v>
      </c>
      <c r="AF81" s="8">
        <v>105000</v>
      </c>
      <c r="AG81" s="8">
        <v>13500</v>
      </c>
      <c r="AH81" s="8">
        <v>118500</v>
      </c>
      <c r="AI81" s="8" t="s">
        <v>504</v>
      </c>
      <c r="AJ81" s="8" t="s">
        <v>106</v>
      </c>
      <c r="AK81" s="10">
        <v>45931</v>
      </c>
      <c r="AL81" s="8"/>
      <c r="AM81" s="8">
        <v>0</v>
      </c>
      <c r="AN81" s="8">
        <v>6549</v>
      </c>
      <c r="AO81" s="20"/>
      <c r="AP81" s="20"/>
      <c r="AQ81" s="20"/>
      <c r="AR81" s="20"/>
      <c r="AS81" s="20"/>
      <c r="AT81" s="20"/>
      <c r="AU81" s="20"/>
      <c r="AV81" s="11">
        <f t="shared" si="2"/>
        <v>0</v>
      </c>
    </row>
    <row r="82" spans="1:48" ht="60" x14ac:dyDescent="0.25">
      <c r="A82" s="4" t="s">
        <v>155</v>
      </c>
      <c r="B82" s="4" t="s">
        <v>35</v>
      </c>
      <c r="C82" s="4" t="s">
        <v>27</v>
      </c>
      <c r="D82" s="4">
        <v>9</v>
      </c>
      <c r="E82" s="4"/>
      <c r="F82" s="4" t="s">
        <v>505</v>
      </c>
      <c r="G82" s="4" t="s">
        <v>506</v>
      </c>
      <c r="H82" s="4" t="s">
        <v>507</v>
      </c>
      <c r="I82" s="4"/>
      <c r="J82" s="4">
        <v>97300</v>
      </c>
      <c r="K82" s="4" t="s">
        <v>292</v>
      </c>
      <c r="L82" s="4" t="s">
        <v>102</v>
      </c>
      <c r="M82" s="4" t="s">
        <v>26</v>
      </c>
      <c r="N82" s="4"/>
      <c r="O82" s="4"/>
      <c r="P82" s="4"/>
      <c r="Q82" s="4"/>
      <c r="R82" s="4">
        <v>80</v>
      </c>
      <c r="S82" s="4">
        <v>540</v>
      </c>
      <c r="T82" s="4">
        <v>303</v>
      </c>
      <c r="U82" s="4"/>
      <c r="V82" s="4">
        <v>240</v>
      </c>
      <c r="W82" s="4">
        <v>543</v>
      </c>
      <c r="X82" s="4">
        <v>13095</v>
      </c>
      <c r="Y82" s="4">
        <v>3</v>
      </c>
      <c r="Z82" s="4">
        <v>18065</v>
      </c>
      <c r="AA82" s="4">
        <v>204</v>
      </c>
      <c r="AB82" s="4">
        <v>23530</v>
      </c>
      <c r="AC82" s="4" t="s">
        <v>159</v>
      </c>
      <c r="AD82" s="13" t="s">
        <v>198</v>
      </c>
      <c r="AE82" s="4"/>
      <c r="AF82" s="4"/>
      <c r="AG82" s="4"/>
      <c r="AH82" s="4"/>
      <c r="AI82" s="4"/>
      <c r="AJ82" s="4"/>
      <c r="AK82" s="4"/>
      <c r="AL82" s="4"/>
      <c r="AM82" s="4">
        <v>0</v>
      </c>
      <c r="AN82" s="4">
        <v>800</v>
      </c>
      <c r="AO82" s="20"/>
      <c r="AP82" s="20"/>
      <c r="AQ82" s="20"/>
      <c r="AR82" s="20"/>
      <c r="AS82" s="20"/>
      <c r="AT82" s="20"/>
      <c r="AU82" s="20"/>
      <c r="AV82" s="11" t="str">
        <f t="shared" si="2"/>
        <v>-</v>
      </c>
    </row>
    <row r="83" spans="1:48" ht="96" x14ac:dyDescent="0.25">
      <c r="A83" s="4" t="s">
        <v>155</v>
      </c>
      <c r="B83" s="4" t="s">
        <v>35</v>
      </c>
      <c r="C83" s="4" t="s">
        <v>15</v>
      </c>
      <c r="D83" s="4">
        <v>9</v>
      </c>
      <c r="E83" s="4"/>
      <c r="F83" s="4" t="s">
        <v>508</v>
      </c>
      <c r="G83" s="4" t="s">
        <v>509</v>
      </c>
      <c r="H83" s="4" t="s">
        <v>507</v>
      </c>
      <c r="I83" s="4"/>
      <c r="J83" s="4">
        <v>997000</v>
      </c>
      <c r="K83" s="4" t="s">
        <v>510</v>
      </c>
      <c r="L83" s="4" t="s">
        <v>102</v>
      </c>
      <c r="M83" s="4" t="s">
        <v>22</v>
      </c>
      <c r="N83" s="4"/>
      <c r="O83" s="4"/>
      <c r="P83" s="4"/>
      <c r="Q83" s="4"/>
      <c r="R83" s="4">
        <v>851</v>
      </c>
      <c r="S83" s="4">
        <v>45717</v>
      </c>
      <c r="T83" s="4">
        <v>4808</v>
      </c>
      <c r="U83" s="4"/>
      <c r="V83" s="4">
        <v>1548</v>
      </c>
      <c r="W83" s="4">
        <v>6356</v>
      </c>
      <c r="X83" s="4">
        <v>63574</v>
      </c>
      <c r="Y83" s="4">
        <v>10</v>
      </c>
      <c r="Z83" s="4">
        <v>112908</v>
      </c>
      <c r="AA83" s="4">
        <v>1040</v>
      </c>
      <c r="AB83" s="4">
        <v>131474</v>
      </c>
      <c r="AC83" s="4" t="s">
        <v>130</v>
      </c>
      <c r="AD83" s="13" t="s">
        <v>511</v>
      </c>
      <c r="AE83" s="4"/>
      <c r="AF83" s="4"/>
      <c r="AG83" s="4"/>
      <c r="AH83" s="4"/>
      <c r="AI83" s="4"/>
      <c r="AJ83" s="4"/>
      <c r="AK83" s="4"/>
      <c r="AL83" s="4"/>
      <c r="AM83" s="4">
        <v>0</v>
      </c>
      <c r="AN83" s="4">
        <v>64599</v>
      </c>
      <c r="AO83" s="20"/>
      <c r="AP83" s="20"/>
      <c r="AQ83" s="20"/>
      <c r="AR83" s="20"/>
      <c r="AS83" s="20"/>
      <c r="AT83" s="20"/>
      <c r="AU83" s="20"/>
      <c r="AV83" s="11" t="str">
        <f t="shared" si="2"/>
        <v>-</v>
      </c>
    </row>
    <row r="84" spans="1:48" ht="96" x14ac:dyDescent="0.25">
      <c r="A84" s="4" t="s">
        <v>155</v>
      </c>
      <c r="B84" s="4" t="s">
        <v>35</v>
      </c>
      <c r="C84" s="4" t="s">
        <v>15</v>
      </c>
      <c r="D84" s="4">
        <v>9</v>
      </c>
      <c r="E84" s="4"/>
      <c r="F84" s="4" t="s">
        <v>512</v>
      </c>
      <c r="G84" s="4" t="s">
        <v>513</v>
      </c>
      <c r="H84" s="4" t="s">
        <v>507</v>
      </c>
      <c r="I84" s="4"/>
      <c r="J84" s="4">
        <v>727000</v>
      </c>
      <c r="K84" s="4" t="s">
        <v>510</v>
      </c>
      <c r="L84" s="4" t="s">
        <v>102</v>
      </c>
      <c r="M84" s="4" t="s">
        <v>22</v>
      </c>
      <c r="N84" s="4"/>
      <c r="O84" s="4"/>
      <c r="P84" s="4"/>
      <c r="Q84" s="4"/>
      <c r="R84" s="4">
        <v>1334</v>
      </c>
      <c r="S84" s="4">
        <v>46117</v>
      </c>
      <c r="T84" s="4">
        <v>2912</v>
      </c>
      <c r="U84" s="4"/>
      <c r="V84" s="4">
        <v>848</v>
      </c>
      <c r="W84" s="4">
        <v>3760</v>
      </c>
      <c r="X84" s="4">
        <v>69337</v>
      </c>
      <c r="Y84" s="4">
        <v>6</v>
      </c>
      <c r="Z84" s="4">
        <v>61787</v>
      </c>
      <c r="AA84" s="4">
        <v>624</v>
      </c>
      <c r="AB84" s="4">
        <v>75232</v>
      </c>
      <c r="AC84" s="4" t="s">
        <v>197</v>
      </c>
      <c r="AD84" s="13" t="s">
        <v>511</v>
      </c>
      <c r="AE84" s="4"/>
      <c r="AF84" s="4"/>
      <c r="AG84" s="4"/>
      <c r="AH84" s="4"/>
      <c r="AI84" s="4"/>
      <c r="AJ84" s="4"/>
      <c r="AK84" s="4"/>
      <c r="AL84" s="4"/>
      <c r="AM84" s="4">
        <v>0</v>
      </c>
      <c r="AN84" s="4">
        <v>74525</v>
      </c>
      <c r="AO84" s="20"/>
      <c r="AP84" s="20"/>
      <c r="AQ84" s="20"/>
      <c r="AR84" s="20"/>
      <c r="AS84" s="20"/>
      <c r="AT84" s="20"/>
      <c r="AU84" s="20"/>
      <c r="AV84" s="11" t="str">
        <f t="shared" si="2"/>
        <v>-</v>
      </c>
    </row>
    <row r="85" spans="1:48" ht="96" x14ac:dyDescent="0.25">
      <c r="A85" s="4" t="s">
        <v>155</v>
      </c>
      <c r="B85" s="4" t="s">
        <v>35</v>
      </c>
      <c r="C85" s="4" t="s">
        <v>15</v>
      </c>
      <c r="D85" s="4">
        <v>9</v>
      </c>
      <c r="E85" s="4"/>
      <c r="F85" s="4" t="s">
        <v>514</v>
      </c>
      <c r="G85" s="4" t="s">
        <v>515</v>
      </c>
      <c r="H85" s="4" t="s">
        <v>507</v>
      </c>
      <c r="I85" s="4"/>
      <c r="J85" s="4">
        <v>567000</v>
      </c>
      <c r="K85" s="4" t="s">
        <v>510</v>
      </c>
      <c r="L85" s="4" t="s">
        <v>102</v>
      </c>
      <c r="M85" s="4" t="s">
        <v>22</v>
      </c>
      <c r="N85" s="4"/>
      <c r="O85" s="4"/>
      <c r="P85" s="4"/>
      <c r="Q85" s="4"/>
      <c r="R85" s="4">
        <v>631</v>
      </c>
      <c r="S85" s="4">
        <v>20561</v>
      </c>
      <c r="T85" s="4">
        <v>1028</v>
      </c>
      <c r="U85" s="4"/>
      <c r="V85" s="4">
        <v>508</v>
      </c>
      <c r="W85" s="4">
        <v>1536</v>
      </c>
      <c r="X85" s="4">
        <v>46499</v>
      </c>
      <c r="Y85" s="4">
        <v>6</v>
      </c>
      <c r="Z85" s="4">
        <v>38017</v>
      </c>
      <c r="AA85" s="4">
        <v>432</v>
      </c>
      <c r="AB85" s="4">
        <v>41453</v>
      </c>
      <c r="AC85" s="4" t="s">
        <v>312</v>
      </c>
      <c r="AD85" s="13" t="s">
        <v>511</v>
      </c>
      <c r="AE85" s="4"/>
      <c r="AF85" s="4"/>
      <c r="AG85" s="4"/>
      <c r="AH85" s="4"/>
      <c r="AI85" s="4"/>
      <c r="AJ85" s="4"/>
      <c r="AK85" s="4"/>
      <c r="AL85" s="4"/>
      <c r="AM85" s="4">
        <v>0</v>
      </c>
      <c r="AN85" s="4">
        <v>7801</v>
      </c>
      <c r="AO85" s="20"/>
      <c r="AP85" s="20"/>
      <c r="AQ85" s="20"/>
      <c r="AR85" s="20"/>
      <c r="AS85" s="20"/>
      <c r="AT85" s="20"/>
      <c r="AU85" s="20"/>
      <c r="AV85" s="11" t="str">
        <f t="shared" si="2"/>
        <v>-</v>
      </c>
    </row>
    <row r="86" spans="1:48" ht="36" x14ac:dyDescent="0.25">
      <c r="A86" s="4" t="s">
        <v>155</v>
      </c>
      <c r="B86" s="4" t="s">
        <v>41</v>
      </c>
      <c r="C86" s="4" t="s">
        <v>15</v>
      </c>
      <c r="D86" s="4">
        <v>10</v>
      </c>
      <c r="E86" s="4"/>
      <c r="F86" s="4" t="s">
        <v>516</v>
      </c>
      <c r="G86" s="4" t="s">
        <v>517</v>
      </c>
      <c r="H86" s="4" t="s">
        <v>518</v>
      </c>
      <c r="I86" s="4"/>
      <c r="J86" s="4">
        <v>1209792</v>
      </c>
      <c r="K86" s="4" t="s">
        <v>519</v>
      </c>
      <c r="L86" s="4" t="s">
        <v>102</v>
      </c>
      <c r="M86" s="4" t="s">
        <v>18</v>
      </c>
      <c r="N86" s="4"/>
      <c r="O86" s="4"/>
      <c r="P86" s="4"/>
      <c r="Q86" s="4" t="s">
        <v>520</v>
      </c>
      <c r="R86" s="4">
        <v>1122</v>
      </c>
      <c r="S86" s="4">
        <v>5880</v>
      </c>
      <c r="T86" s="4">
        <v>2560</v>
      </c>
      <c r="U86" s="4"/>
      <c r="V86" s="4">
        <v>1540</v>
      </c>
      <c r="W86" s="4">
        <v>4100</v>
      </c>
      <c r="X86" s="4">
        <v>103534</v>
      </c>
      <c r="Y86" s="4">
        <v>9</v>
      </c>
      <c r="Z86" s="4">
        <v>145193</v>
      </c>
      <c r="AA86" s="4">
        <v>856</v>
      </c>
      <c r="AB86" s="4">
        <v>283661</v>
      </c>
      <c r="AC86" s="4" t="s">
        <v>367</v>
      </c>
      <c r="AD86" s="13" t="s">
        <v>261</v>
      </c>
      <c r="AE86" s="4"/>
      <c r="AF86" s="4"/>
      <c r="AG86" s="4"/>
      <c r="AH86" s="4"/>
      <c r="AI86" s="4"/>
      <c r="AJ86" s="4"/>
      <c r="AK86" s="4"/>
      <c r="AL86" s="4"/>
      <c r="AM86" s="4">
        <v>0</v>
      </c>
      <c r="AN86" s="4">
        <v>25188</v>
      </c>
      <c r="AO86" s="20"/>
      <c r="AP86" s="20"/>
      <c r="AQ86" s="20"/>
      <c r="AR86" s="20"/>
      <c r="AS86" s="20"/>
      <c r="AT86" s="20"/>
      <c r="AU86" s="20"/>
      <c r="AV86" s="11" t="str">
        <f t="shared" si="2"/>
        <v>-</v>
      </c>
    </row>
    <row r="87" spans="1:48" ht="36" x14ac:dyDescent="0.25">
      <c r="A87" s="4" t="s">
        <v>155</v>
      </c>
      <c r="B87" s="4" t="s">
        <v>35</v>
      </c>
      <c r="C87" s="4" t="s">
        <v>32</v>
      </c>
      <c r="D87" s="4">
        <v>10</v>
      </c>
      <c r="E87" s="4"/>
      <c r="F87" s="4" t="s">
        <v>521</v>
      </c>
      <c r="G87" s="4" t="s">
        <v>522</v>
      </c>
      <c r="H87" s="4" t="s">
        <v>523</v>
      </c>
      <c r="I87" s="4"/>
      <c r="J87" s="4">
        <v>299000</v>
      </c>
      <c r="K87" s="4" t="s">
        <v>524</v>
      </c>
      <c r="L87" s="4" t="s">
        <v>102</v>
      </c>
      <c r="M87" s="4" t="s">
        <v>16</v>
      </c>
      <c r="N87" s="4"/>
      <c r="O87" s="4"/>
      <c r="P87" s="4"/>
      <c r="Q87" s="4"/>
      <c r="R87" s="4">
        <v>105</v>
      </c>
      <c r="S87" s="4">
        <v>867</v>
      </c>
      <c r="T87" s="4">
        <v>2382</v>
      </c>
      <c r="U87" s="4"/>
      <c r="V87" s="4">
        <v>870</v>
      </c>
      <c r="W87" s="4">
        <v>3252</v>
      </c>
      <c r="X87" s="4">
        <v>37121</v>
      </c>
      <c r="Y87" s="4">
        <v>7</v>
      </c>
      <c r="Z87" s="4">
        <v>0</v>
      </c>
      <c r="AA87" s="4">
        <v>448</v>
      </c>
      <c r="AB87" s="4">
        <v>80709</v>
      </c>
      <c r="AC87" s="4" t="s">
        <v>270</v>
      </c>
      <c r="AD87" s="13" t="s">
        <v>452</v>
      </c>
      <c r="AE87" s="4"/>
      <c r="AF87" s="4"/>
      <c r="AG87" s="4"/>
      <c r="AH87" s="4"/>
      <c r="AI87" s="4"/>
      <c r="AJ87" s="4"/>
      <c r="AK87" s="4"/>
      <c r="AL87" s="4"/>
      <c r="AM87" s="4">
        <v>0</v>
      </c>
      <c r="AN87" s="4">
        <v>16010</v>
      </c>
      <c r="AO87" s="20"/>
      <c r="AP87" s="20"/>
      <c r="AQ87" s="20"/>
      <c r="AR87" s="20"/>
      <c r="AS87" s="20"/>
      <c r="AT87" s="20"/>
      <c r="AU87" s="20"/>
      <c r="AV87" s="11" t="str">
        <f t="shared" si="2"/>
        <v>-</v>
      </c>
    </row>
    <row r="88" spans="1:48" ht="24" x14ac:dyDescent="0.25">
      <c r="A88" s="4" t="s">
        <v>155</v>
      </c>
      <c r="B88" s="4" t="s">
        <v>37</v>
      </c>
      <c r="C88" s="4" t="s">
        <v>27</v>
      </c>
      <c r="D88" s="4">
        <v>10</v>
      </c>
      <c r="E88" s="4"/>
      <c r="F88" s="4" t="s">
        <v>525</v>
      </c>
      <c r="G88" s="4" t="s">
        <v>526</v>
      </c>
      <c r="H88" s="4" t="s">
        <v>488</v>
      </c>
      <c r="I88" s="4"/>
      <c r="J88" s="4">
        <v>23000</v>
      </c>
      <c r="K88" s="4" t="s">
        <v>527</v>
      </c>
      <c r="L88" s="4" t="s">
        <v>102</v>
      </c>
      <c r="M88" s="4" t="s">
        <v>16</v>
      </c>
      <c r="N88" s="4"/>
      <c r="O88" s="4"/>
      <c r="P88" s="4"/>
      <c r="Q88" s="4"/>
      <c r="R88" s="4">
        <v>7</v>
      </c>
      <c r="S88" s="4">
        <v>158</v>
      </c>
      <c r="T88" s="4">
        <v>150</v>
      </c>
      <c r="U88" s="4"/>
      <c r="V88" s="4">
        <v>58</v>
      </c>
      <c r="W88" s="4">
        <v>208</v>
      </c>
      <c r="X88" s="4">
        <v>5110</v>
      </c>
      <c r="Y88" s="4">
        <v>1</v>
      </c>
      <c r="Z88" s="4">
        <v>5022</v>
      </c>
      <c r="AA88" s="4">
        <v>40</v>
      </c>
      <c r="AB88" s="4">
        <v>8222</v>
      </c>
      <c r="AC88" s="4" t="s">
        <v>528</v>
      </c>
      <c r="AD88" s="13" t="s">
        <v>529</v>
      </c>
      <c r="AE88" s="4"/>
      <c r="AF88" s="4"/>
      <c r="AG88" s="4"/>
      <c r="AH88" s="4"/>
      <c r="AI88" s="4"/>
      <c r="AJ88" s="4"/>
      <c r="AK88" s="4"/>
      <c r="AL88" s="4"/>
      <c r="AM88" s="4">
        <v>0</v>
      </c>
      <c r="AN88" s="4">
        <v>1030</v>
      </c>
      <c r="AO88" s="20"/>
      <c r="AP88" s="20"/>
      <c r="AQ88" s="20"/>
      <c r="AR88" s="20"/>
      <c r="AS88" s="20"/>
      <c r="AT88" s="20"/>
      <c r="AU88" s="20"/>
      <c r="AV88" s="11" t="str">
        <f t="shared" si="2"/>
        <v>-</v>
      </c>
    </row>
    <row r="89" spans="1:48" ht="36" x14ac:dyDescent="0.25">
      <c r="A89" s="4" t="s">
        <v>155</v>
      </c>
      <c r="B89" s="4" t="s">
        <v>35</v>
      </c>
      <c r="C89" s="4" t="s">
        <v>23</v>
      </c>
      <c r="D89" s="4">
        <v>10</v>
      </c>
      <c r="E89" s="4"/>
      <c r="F89" s="4" t="s">
        <v>530</v>
      </c>
      <c r="G89" s="4" t="s">
        <v>531</v>
      </c>
      <c r="H89" s="4" t="s">
        <v>532</v>
      </c>
      <c r="I89" s="4"/>
      <c r="J89" s="4">
        <v>847000</v>
      </c>
      <c r="K89" s="4" t="s">
        <v>533</v>
      </c>
      <c r="L89" s="4" t="s">
        <v>102</v>
      </c>
      <c r="M89" s="4" t="s">
        <v>22</v>
      </c>
      <c r="N89" s="4"/>
      <c r="O89" s="4"/>
      <c r="P89" s="4"/>
      <c r="Q89" s="4"/>
      <c r="R89" s="4">
        <v>583</v>
      </c>
      <c r="S89" s="4">
        <v>11686</v>
      </c>
      <c r="T89" s="4">
        <v>2816</v>
      </c>
      <c r="U89" s="4"/>
      <c r="V89" s="4">
        <v>1576</v>
      </c>
      <c r="W89" s="4">
        <v>4392</v>
      </c>
      <c r="X89" s="4">
        <v>112262</v>
      </c>
      <c r="Y89" s="4">
        <v>8</v>
      </c>
      <c r="Z89" s="4">
        <v>127261</v>
      </c>
      <c r="AA89" s="4">
        <v>6752</v>
      </c>
      <c r="AB89" s="4">
        <v>231981</v>
      </c>
      <c r="AC89" s="4" t="s">
        <v>270</v>
      </c>
      <c r="AD89" s="13" t="s">
        <v>261</v>
      </c>
      <c r="AE89" s="4"/>
      <c r="AF89" s="4"/>
      <c r="AG89" s="4"/>
      <c r="AH89" s="4"/>
      <c r="AI89" s="4"/>
      <c r="AJ89" s="4"/>
      <c r="AK89" s="4"/>
      <c r="AL89" s="4"/>
      <c r="AM89" s="4">
        <v>0</v>
      </c>
      <c r="AN89" s="4">
        <v>29100</v>
      </c>
      <c r="AO89" s="20"/>
      <c r="AP89" s="20"/>
      <c r="AQ89" s="20"/>
      <c r="AR89" s="20"/>
      <c r="AS89" s="20"/>
      <c r="AT89" s="20"/>
      <c r="AU89" s="20"/>
      <c r="AV89" s="11" t="str">
        <f t="shared" si="2"/>
        <v>-</v>
      </c>
    </row>
    <row r="90" spans="1:48" ht="36" x14ac:dyDescent="0.25">
      <c r="A90" s="4" t="s">
        <v>155</v>
      </c>
      <c r="B90" s="4" t="s">
        <v>35</v>
      </c>
      <c r="C90" s="4" t="s">
        <v>25</v>
      </c>
      <c r="D90" s="4">
        <v>10</v>
      </c>
      <c r="E90" s="4"/>
      <c r="F90" s="4" t="s">
        <v>534</v>
      </c>
      <c r="G90" s="4" t="s">
        <v>535</v>
      </c>
      <c r="H90" s="4" t="s">
        <v>536</v>
      </c>
      <c r="I90" s="4"/>
      <c r="J90" s="4">
        <v>275000</v>
      </c>
      <c r="K90" s="4" t="s">
        <v>537</v>
      </c>
      <c r="L90" s="4" t="s">
        <v>102</v>
      </c>
      <c r="M90" s="4" t="s">
        <v>16</v>
      </c>
      <c r="N90" s="4"/>
      <c r="O90" s="4"/>
      <c r="P90" s="4"/>
      <c r="Q90" s="4"/>
      <c r="R90" s="4">
        <v>126</v>
      </c>
      <c r="S90" s="4">
        <v>1043</v>
      </c>
      <c r="T90" s="4">
        <v>1298</v>
      </c>
      <c r="U90" s="4"/>
      <c r="V90" s="4">
        <v>540</v>
      </c>
      <c r="W90" s="4">
        <v>1838</v>
      </c>
      <c r="X90" s="4">
        <v>31974</v>
      </c>
      <c r="Y90" s="4">
        <v>4</v>
      </c>
      <c r="Z90" s="4">
        <v>0</v>
      </c>
      <c r="AA90" s="4">
        <v>296</v>
      </c>
      <c r="AB90" s="4">
        <v>78578</v>
      </c>
      <c r="AC90" s="4" t="s">
        <v>208</v>
      </c>
      <c r="AD90" s="13" t="s">
        <v>538</v>
      </c>
      <c r="AE90" s="4"/>
      <c r="AF90" s="4"/>
      <c r="AG90" s="4"/>
      <c r="AH90" s="4"/>
      <c r="AI90" s="4"/>
      <c r="AJ90" s="4"/>
      <c r="AK90" s="4"/>
      <c r="AL90" s="4"/>
      <c r="AM90" s="4">
        <v>0</v>
      </c>
      <c r="AN90" s="4">
        <v>15990</v>
      </c>
      <c r="AO90" s="20"/>
      <c r="AP90" s="20"/>
      <c r="AQ90" s="20"/>
      <c r="AR90" s="20"/>
      <c r="AS90" s="20"/>
      <c r="AT90" s="20"/>
      <c r="AU90" s="20"/>
      <c r="AV90" s="11" t="str">
        <f t="shared" si="2"/>
        <v>-</v>
      </c>
    </row>
    <row r="91" spans="1:48" ht="24" x14ac:dyDescent="0.25">
      <c r="A91" s="4" t="s">
        <v>155</v>
      </c>
      <c r="B91" s="4" t="s">
        <v>35</v>
      </c>
      <c r="C91" s="4" t="s">
        <v>11</v>
      </c>
      <c r="D91" s="4">
        <v>11</v>
      </c>
      <c r="E91" s="4"/>
      <c r="F91" s="4" t="s">
        <v>539</v>
      </c>
      <c r="G91" s="4" t="s">
        <v>540</v>
      </c>
      <c r="H91" s="4" t="s">
        <v>541</v>
      </c>
      <c r="I91" s="4"/>
      <c r="J91" s="4">
        <v>47000</v>
      </c>
      <c r="K91" s="4" t="s">
        <v>145</v>
      </c>
      <c r="L91" s="4" t="s">
        <v>102</v>
      </c>
      <c r="M91" s="4" t="s">
        <v>22</v>
      </c>
      <c r="N91" s="4"/>
      <c r="O91" s="4"/>
      <c r="P91" s="4"/>
      <c r="Q91" s="4" t="s">
        <v>542</v>
      </c>
      <c r="R91" s="4">
        <v>20</v>
      </c>
      <c r="S91" s="4">
        <v>870</v>
      </c>
      <c r="T91" s="4">
        <v>264</v>
      </c>
      <c r="U91" s="4"/>
      <c r="V91" s="4">
        <v>124</v>
      </c>
      <c r="W91" s="4">
        <v>388</v>
      </c>
      <c r="X91" s="4">
        <v>9587</v>
      </c>
      <c r="Y91" s="4">
        <v>2</v>
      </c>
      <c r="Z91" s="4">
        <v>9595</v>
      </c>
      <c r="AA91" s="4">
        <v>112</v>
      </c>
      <c r="AB91" s="4">
        <v>10821</v>
      </c>
      <c r="AC91" s="4" t="s">
        <v>367</v>
      </c>
      <c r="AD91" s="13" t="s">
        <v>339</v>
      </c>
      <c r="AE91" s="4"/>
      <c r="AF91" s="4"/>
      <c r="AG91" s="4"/>
      <c r="AH91" s="4"/>
      <c r="AI91" s="4"/>
      <c r="AJ91" s="4"/>
      <c r="AK91" s="4"/>
      <c r="AL91" s="4"/>
      <c r="AM91" s="4">
        <v>0</v>
      </c>
      <c r="AN91" s="4">
        <v>4337</v>
      </c>
      <c r="AO91" s="20"/>
      <c r="AP91" s="20"/>
      <c r="AQ91" s="20"/>
      <c r="AR91" s="20"/>
      <c r="AS91" s="20"/>
      <c r="AT91" s="20"/>
      <c r="AU91" s="20"/>
      <c r="AV91" s="11" t="str">
        <f t="shared" si="2"/>
        <v>-</v>
      </c>
    </row>
    <row r="92" spans="1:48" ht="72" x14ac:dyDescent="0.25">
      <c r="A92" s="4" t="s">
        <v>155</v>
      </c>
      <c r="B92" s="4" t="s">
        <v>37</v>
      </c>
      <c r="C92" s="4" t="s">
        <v>30</v>
      </c>
      <c r="D92" s="4">
        <v>11</v>
      </c>
      <c r="E92" s="4"/>
      <c r="F92" s="4" t="s">
        <v>543</v>
      </c>
      <c r="G92" s="4" t="s">
        <v>544</v>
      </c>
      <c r="H92" s="4" t="s">
        <v>545</v>
      </c>
      <c r="I92" s="4"/>
      <c r="J92" s="4">
        <v>2037500</v>
      </c>
      <c r="K92" s="4" t="s">
        <v>112</v>
      </c>
      <c r="L92" s="4" t="s">
        <v>102</v>
      </c>
      <c r="M92" s="4" t="s">
        <v>22</v>
      </c>
      <c r="N92" s="4"/>
      <c r="O92" s="4"/>
      <c r="P92" s="4">
        <v>0</v>
      </c>
      <c r="Q92" s="4"/>
      <c r="R92" s="4">
        <v>3393</v>
      </c>
      <c r="S92" s="4">
        <v>204612</v>
      </c>
      <c r="T92" s="4">
        <v>6853</v>
      </c>
      <c r="U92" s="4"/>
      <c r="V92" s="4">
        <v>3432</v>
      </c>
      <c r="W92" s="4">
        <v>10285</v>
      </c>
      <c r="X92" s="4">
        <v>164768</v>
      </c>
      <c r="Y92" s="4">
        <v>24</v>
      </c>
      <c r="Z92" s="4">
        <v>254289</v>
      </c>
      <c r="AA92" s="4">
        <v>2496</v>
      </c>
      <c r="AB92" s="4">
        <v>301497</v>
      </c>
      <c r="AC92" s="4" t="s">
        <v>204</v>
      </c>
      <c r="AD92" s="13" t="s">
        <v>546</v>
      </c>
      <c r="AE92" s="4"/>
      <c r="AF92" s="4"/>
      <c r="AG92" s="4"/>
      <c r="AH92" s="4"/>
      <c r="AI92" s="4"/>
      <c r="AJ92" s="4"/>
      <c r="AK92" s="4"/>
      <c r="AL92" s="4"/>
      <c r="AM92" s="4">
        <v>0</v>
      </c>
      <c r="AN92" s="4">
        <v>149868</v>
      </c>
      <c r="AO92" s="20"/>
      <c r="AP92" s="20"/>
      <c r="AQ92" s="20"/>
      <c r="AR92" s="20"/>
      <c r="AS92" s="20"/>
      <c r="AT92" s="20"/>
      <c r="AU92" s="20"/>
      <c r="AV92" s="11" t="str">
        <f t="shared" si="2"/>
        <v>-</v>
      </c>
    </row>
    <row r="93" spans="1:48" ht="72" x14ac:dyDescent="0.25">
      <c r="A93" s="4" t="s">
        <v>155</v>
      </c>
      <c r="B93" s="4" t="s">
        <v>37</v>
      </c>
      <c r="C93" s="4" t="s">
        <v>30</v>
      </c>
      <c r="D93" s="4">
        <v>11</v>
      </c>
      <c r="E93" s="4"/>
      <c r="F93" s="4" t="s">
        <v>547</v>
      </c>
      <c r="G93" s="4" t="s">
        <v>548</v>
      </c>
      <c r="H93" s="4" t="s">
        <v>545</v>
      </c>
      <c r="I93" s="4"/>
      <c r="J93" s="4">
        <v>3516500</v>
      </c>
      <c r="K93" s="4" t="s">
        <v>112</v>
      </c>
      <c r="L93" s="4" t="s">
        <v>102</v>
      </c>
      <c r="M93" s="4" t="s">
        <v>22</v>
      </c>
      <c r="N93" s="4"/>
      <c r="O93" s="4"/>
      <c r="P93" s="4"/>
      <c r="Q93" s="4"/>
      <c r="R93" s="4">
        <v>3685</v>
      </c>
      <c r="S93" s="4">
        <v>38857</v>
      </c>
      <c r="T93" s="4">
        <v>6596</v>
      </c>
      <c r="U93" s="4"/>
      <c r="V93" s="4">
        <v>2394</v>
      </c>
      <c r="W93" s="4">
        <v>8990</v>
      </c>
      <c r="X93" s="4">
        <v>222034</v>
      </c>
      <c r="Y93" s="4">
        <v>12</v>
      </c>
      <c r="Z93" s="4">
        <v>224726</v>
      </c>
      <c r="AA93" s="4">
        <v>1848</v>
      </c>
      <c r="AB93" s="4">
        <v>429412</v>
      </c>
      <c r="AC93" s="4" t="s">
        <v>170</v>
      </c>
      <c r="AD93" s="13" t="s">
        <v>546</v>
      </c>
      <c r="AE93" s="4"/>
      <c r="AF93" s="4"/>
      <c r="AG93" s="4"/>
      <c r="AH93" s="4"/>
      <c r="AI93" s="4"/>
      <c r="AJ93" s="4"/>
      <c r="AK93" s="4"/>
      <c r="AL93" s="4"/>
      <c r="AM93" s="4">
        <v>0</v>
      </c>
      <c r="AN93" s="4">
        <v>198837</v>
      </c>
      <c r="AO93" s="20"/>
      <c r="AP93" s="20"/>
      <c r="AQ93" s="20"/>
      <c r="AR93" s="20"/>
      <c r="AS93" s="20"/>
      <c r="AT93" s="20"/>
      <c r="AU93" s="20"/>
      <c r="AV93" s="11" t="str">
        <f t="shared" si="2"/>
        <v>-</v>
      </c>
    </row>
    <row r="94" spans="1:48" ht="36" x14ac:dyDescent="0.25">
      <c r="A94" s="4" t="s">
        <v>155</v>
      </c>
      <c r="B94" s="4" t="s">
        <v>35</v>
      </c>
      <c r="C94" s="4" t="s">
        <v>23</v>
      </c>
      <c r="D94" s="4">
        <v>11</v>
      </c>
      <c r="E94" s="4"/>
      <c r="F94" s="4" t="s">
        <v>549</v>
      </c>
      <c r="G94" s="4" t="s">
        <v>550</v>
      </c>
      <c r="H94" s="4" t="s">
        <v>545</v>
      </c>
      <c r="I94" s="4"/>
      <c r="J94" s="4">
        <v>277000</v>
      </c>
      <c r="K94" s="4" t="s">
        <v>151</v>
      </c>
      <c r="L94" s="4" t="s">
        <v>102</v>
      </c>
      <c r="M94" s="4" t="s">
        <v>16</v>
      </c>
      <c r="N94" s="4"/>
      <c r="O94" s="4"/>
      <c r="P94" s="4">
        <v>0</v>
      </c>
      <c r="Q94" s="4"/>
      <c r="R94" s="4">
        <v>108</v>
      </c>
      <c r="S94" s="4">
        <v>1787</v>
      </c>
      <c r="T94" s="4">
        <v>1320</v>
      </c>
      <c r="U94" s="4"/>
      <c r="V94" s="4">
        <v>388</v>
      </c>
      <c r="W94" s="4">
        <v>1708</v>
      </c>
      <c r="X94" s="4">
        <v>30513</v>
      </c>
      <c r="Y94" s="4">
        <v>4</v>
      </c>
      <c r="Z94" s="4">
        <v>29914</v>
      </c>
      <c r="AA94" s="4">
        <v>240</v>
      </c>
      <c r="AB94" s="4">
        <v>43314</v>
      </c>
      <c r="AC94" s="4" t="s">
        <v>153</v>
      </c>
      <c r="AD94" s="13" t="s">
        <v>551</v>
      </c>
      <c r="AE94" s="4"/>
      <c r="AF94" s="4"/>
      <c r="AG94" s="4"/>
      <c r="AH94" s="4"/>
      <c r="AI94" s="4"/>
      <c r="AJ94" s="4"/>
      <c r="AK94" s="4"/>
      <c r="AL94" s="4"/>
      <c r="AM94" s="4">
        <v>0</v>
      </c>
      <c r="AN94" s="4">
        <v>37537</v>
      </c>
      <c r="AO94" s="20"/>
      <c r="AP94" s="20"/>
      <c r="AQ94" s="20"/>
      <c r="AR94" s="20"/>
      <c r="AS94" s="20"/>
      <c r="AT94" s="20"/>
      <c r="AU94" s="20"/>
      <c r="AV94" s="11" t="str">
        <f t="shared" si="2"/>
        <v>-</v>
      </c>
    </row>
    <row r="95" spans="1:48" ht="48" x14ac:dyDescent="0.25">
      <c r="A95" s="4" t="s">
        <v>155</v>
      </c>
      <c r="B95" s="4" t="s">
        <v>37</v>
      </c>
      <c r="C95" s="4" t="s">
        <v>30</v>
      </c>
      <c r="D95" s="4">
        <v>11</v>
      </c>
      <c r="E95" s="4"/>
      <c r="F95" s="4" t="s">
        <v>552</v>
      </c>
      <c r="G95" s="4" t="s">
        <v>553</v>
      </c>
      <c r="H95" s="4" t="s">
        <v>554</v>
      </c>
      <c r="I95" s="4"/>
      <c r="J95" s="4">
        <v>18250000</v>
      </c>
      <c r="K95" s="4" t="s">
        <v>249</v>
      </c>
      <c r="L95" s="4" t="s">
        <v>102</v>
      </c>
      <c r="M95" s="4" t="s">
        <v>14</v>
      </c>
      <c r="N95" s="4"/>
      <c r="O95" s="4"/>
      <c r="P95" s="4"/>
      <c r="Q95" s="4"/>
      <c r="R95" s="4">
        <v>12107</v>
      </c>
      <c r="S95" s="4">
        <v>285000</v>
      </c>
      <c r="T95" s="4">
        <v>60015</v>
      </c>
      <c r="U95" s="4"/>
      <c r="V95" s="4">
        <v>12616</v>
      </c>
      <c r="W95" s="4">
        <v>72631</v>
      </c>
      <c r="X95" s="4">
        <v>1551979</v>
      </c>
      <c r="Y95" s="4">
        <v>52</v>
      </c>
      <c r="Z95" s="4">
        <v>1387633</v>
      </c>
      <c r="AA95" s="4">
        <v>10312</v>
      </c>
      <c r="AB95" s="4">
        <v>2718816</v>
      </c>
      <c r="AC95" s="4" t="s">
        <v>204</v>
      </c>
      <c r="AD95" s="13" t="s">
        <v>555</v>
      </c>
      <c r="AE95" s="4"/>
      <c r="AF95" s="4"/>
      <c r="AG95" s="4"/>
      <c r="AH95" s="4"/>
      <c r="AI95" s="4"/>
      <c r="AJ95" s="4"/>
      <c r="AK95" s="4"/>
      <c r="AL95" s="4"/>
      <c r="AM95" s="4">
        <v>0</v>
      </c>
      <c r="AN95" s="4">
        <v>515982</v>
      </c>
      <c r="AO95" s="20"/>
      <c r="AP95" s="20"/>
      <c r="AQ95" s="20"/>
      <c r="AR95" s="20"/>
      <c r="AS95" s="20"/>
      <c r="AT95" s="20"/>
      <c r="AU95" s="20"/>
      <c r="AV95" s="11" t="str">
        <f t="shared" si="2"/>
        <v>-</v>
      </c>
    </row>
    <row r="96" spans="1:48" ht="72" x14ac:dyDescent="0.25">
      <c r="A96" s="4" t="s">
        <v>155</v>
      </c>
      <c r="B96" s="4" t="s">
        <v>39</v>
      </c>
      <c r="C96" s="4" t="s">
        <v>15</v>
      </c>
      <c r="D96" s="4">
        <v>11</v>
      </c>
      <c r="E96" s="4"/>
      <c r="F96" s="4" t="s">
        <v>556</v>
      </c>
      <c r="G96" s="4" t="s">
        <v>557</v>
      </c>
      <c r="H96" s="4" t="s">
        <v>558</v>
      </c>
      <c r="I96" s="4"/>
      <c r="J96" s="4">
        <v>793000</v>
      </c>
      <c r="K96" s="4" t="s">
        <v>559</v>
      </c>
      <c r="L96" s="4" t="s">
        <v>102</v>
      </c>
      <c r="M96" s="4" t="s">
        <v>22</v>
      </c>
      <c r="N96" s="4"/>
      <c r="O96" s="4"/>
      <c r="P96" s="4"/>
      <c r="Q96" s="4"/>
      <c r="R96" s="4">
        <v>620</v>
      </c>
      <c r="S96" s="4">
        <v>12667</v>
      </c>
      <c r="T96" s="4">
        <v>3046</v>
      </c>
      <c r="U96" s="4"/>
      <c r="V96" s="4">
        <v>2022</v>
      </c>
      <c r="W96" s="4">
        <v>5068</v>
      </c>
      <c r="X96" s="4">
        <v>94653</v>
      </c>
      <c r="Y96" s="4">
        <v>19</v>
      </c>
      <c r="Z96" s="4">
        <v>149594</v>
      </c>
      <c r="AA96" s="4">
        <v>1376</v>
      </c>
      <c r="AB96" s="4">
        <v>192074</v>
      </c>
      <c r="AC96" s="4" t="s">
        <v>159</v>
      </c>
      <c r="AD96" s="13" t="s">
        <v>104</v>
      </c>
      <c r="AE96" s="4"/>
      <c r="AF96" s="4"/>
      <c r="AG96" s="4"/>
      <c r="AH96" s="4"/>
      <c r="AI96" s="4"/>
      <c r="AJ96" s="4"/>
      <c r="AK96" s="4"/>
      <c r="AL96" s="4"/>
      <c r="AM96" s="4">
        <v>0</v>
      </c>
      <c r="AN96" s="4">
        <v>64701</v>
      </c>
      <c r="AO96" s="20"/>
      <c r="AP96" s="20"/>
      <c r="AQ96" s="20"/>
      <c r="AR96" s="20"/>
      <c r="AS96" s="20"/>
      <c r="AT96" s="20"/>
      <c r="AU96" s="20"/>
      <c r="AV96" s="11" t="str">
        <f t="shared" si="2"/>
        <v>-</v>
      </c>
    </row>
    <row r="97" spans="1:48" ht="72" x14ac:dyDescent="0.25">
      <c r="A97" s="1" t="s">
        <v>106</v>
      </c>
      <c r="B97" s="1" t="s">
        <v>37</v>
      </c>
      <c r="C97" s="1" t="s">
        <v>15</v>
      </c>
      <c r="D97" s="1">
        <v>12</v>
      </c>
      <c r="E97" s="1"/>
      <c r="F97" s="1" t="s">
        <v>560</v>
      </c>
      <c r="G97" s="1" t="s">
        <v>561</v>
      </c>
      <c r="H97" s="1" t="s">
        <v>562</v>
      </c>
      <c r="I97" s="1"/>
      <c r="J97" s="1">
        <v>9197000</v>
      </c>
      <c r="K97" s="1" t="s">
        <v>563</v>
      </c>
      <c r="L97" s="1" t="s">
        <v>102</v>
      </c>
      <c r="M97" s="1" t="s">
        <v>22</v>
      </c>
      <c r="N97" s="1"/>
      <c r="O97" s="1"/>
      <c r="P97" s="1"/>
      <c r="Q97" s="1"/>
      <c r="R97" s="1">
        <v>5290</v>
      </c>
      <c r="S97" s="1">
        <v>78577</v>
      </c>
      <c r="T97" s="1">
        <v>24451</v>
      </c>
      <c r="U97" s="1"/>
      <c r="V97" s="1">
        <v>14362</v>
      </c>
      <c r="W97" s="1">
        <v>38813</v>
      </c>
      <c r="X97" s="1">
        <v>822114</v>
      </c>
      <c r="Y97" s="1">
        <v>72</v>
      </c>
      <c r="Z97" s="1">
        <v>1220598</v>
      </c>
      <c r="AA97" s="1">
        <v>10368</v>
      </c>
      <c r="AB97" s="1">
        <v>2063672</v>
      </c>
      <c r="AC97" s="1" t="s">
        <v>121</v>
      </c>
      <c r="AD97" s="12" t="s">
        <v>104</v>
      </c>
      <c r="AE97" s="1"/>
      <c r="AF97" s="1"/>
      <c r="AG97" s="1"/>
      <c r="AH97" s="1"/>
      <c r="AI97" s="1"/>
      <c r="AJ97" s="1"/>
      <c r="AK97" s="1"/>
      <c r="AL97" s="1"/>
      <c r="AM97" s="1">
        <v>0</v>
      </c>
      <c r="AN97" s="1">
        <v>1115762</v>
      </c>
      <c r="AO97" s="20"/>
      <c r="AP97" s="20"/>
      <c r="AQ97" s="20"/>
      <c r="AR97" s="20"/>
      <c r="AS97" s="20"/>
      <c r="AT97" s="20"/>
      <c r="AU97" s="20"/>
      <c r="AV97" s="11" t="str">
        <f t="shared" si="2"/>
        <v>-</v>
      </c>
    </row>
    <row r="98" spans="1:48" ht="72" x14ac:dyDescent="0.25">
      <c r="A98" s="4" t="s">
        <v>155</v>
      </c>
      <c r="B98" s="4" t="s">
        <v>37</v>
      </c>
      <c r="C98" s="4" t="s">
        <v>17</v>
      </c>
      <c r="D98" s="4">
        <v>12</v>
      </c>
      <c r="E98" s="4"/>
      <c r="F98" s="4" t="s">
        <v>564</v>
      </c>
      <c r="G98" s="4" t="s">
        <v>565</v>
      </c>
      <c r="H98" s="4" t="s">
        <v>562</v>
      </c>
      <c r="I98" s="4"/>
      <c r="J98" s="4">
        <v>267000</v>
      </c>
      <c r="K98" s="4" t="s">
        <v>566</v>
      </c>
      <c r="L98" s="4" t="s">
        <v>102</v>
      </c>
      <c r="M98" s="4" t="s">
        <v>16</v>
      </c>
      <c r="N98" s="4"/>
      <c r="O98" s="4"/>
      <c r="P98" s="4"/>
      <c r="Q98" s="4"/>
      <c r="R98" s="4">
        <v>137</v>
      </c>
      <c r="S98" s="4">
        <v>974</v>
      </c>
      <c r="T98" s="4">
        <v>1054</v>
      </c>
      <c r="U98" s="4"/>
      <c r="V98" s="4">
        <v>391</v>
      </c>
      <c r="W98" s="4">
        <v>1445</v>
      </c>
      <c r="X98" s="4">
        <v>32320</v>
      </c>
      <c r="Y98" s="4">
        <v>6</v>
      </c>
      <c r="Z98" s="4">
        <v>0</v>
      </c>
      <c r="AA98" s="4">
        <v>360</v>
      </c>
      <c r="AB98" s="4">
        <v>38932</v>
      </c>
      <c r="AC98" s="4" t="s">
        <v>204</v>
      </c>
      <c r="AD98" s="13" t="s">
        <v>567</v>
      </c>
      <c r="AE98" s="4"/>
      <c r="AF98" s="4"/>
      <c r="AG98" s="4"/>
      <c r="AH98" s="4"/>
      <c r="AI98" s="4"/>
      <c r="AJ98" s="4"/>
      <c r="AK98" s="4"/>
      <c r="AL98" s="4"/>
      <c r="AM98" s="4">
        <v>0</v>
      </c>
      <c r="AN98" s="4">
        <v>34733</v>
      </c>
      <c r="AO98" s="20"/>
      <c r="AP98" s="20"/>
      <c r="AQ98" s="20"/>
      <c r="AR98" s="20"/>
      <c r="AS98" s="20"/>
      <c r="AT98" s="20"/>
      <c r="AU98" s="20"/>
      <c r="AV98" s="11" t="str">
        <f t="shared" ref="AV98:AV105" si="3">IF(A98="Awarded",IFERROR((N98-J98)/J98,"-"),"-")</f>
        <v>-</v>
      </c>
    </row>
    <row r="99" spans="1:48" ht="48" x14ac:dyDescent="0.25">
      <c r="A99" s="4" t="s">
        <v>155</v>
      </c>
      <c r="B99" s="4" t="s">
        <v>35</v>
      </c>
      <c r="C99" s="4" t="s">
        <v>23</v>
      </c>
      <c r="D99" s="4">
        <v>12</v>
      </c>
      <c r="E99" s="4"/>
      <c r="F99" s="4" t="s">
        <v>568</v>
      </c>
      <c r="G99" s="4" t="s">
        <v>569</v>
      </c>
      <c r="H99" s="4" t="s">
        <v>562</v>
      </c>
      <c r="I99" s="4"/>
      <c r="J99" s="4">
        <v>1167000</v>
      </c>
      <c r="K99" s="4" t="s">
        <v>570</v>
      </c>
      <c r="L99" s="4" t="s">
        <v>102</v>
      </c>
      <c r="M99" s="4" t="s">
        <v>14</v>
      </c>
      <c r="N99" s="4"/>
      <c r="O99" s="4"/>
      <c r="P99" s="4"/>
      <c r="Q99" s="4"/>
      <c r="R99" s="4">
        <v>1200</v>
      </c>
      <c r="S99" s="4">
        <v>19200</v>
      </c>
      <c r="T99" s="4">
        <v>2630</v>
      </c>
      <c r="U99" s="4"/>
      <c r="V99" s="4">
        <v>1408</v>
      </c>
      <c r="W99" s="4">
        <v>4038</v>
      </c>
      <c r="X99" s="4">
        <v>110000</v>
      </c>
      <c r="Y99" s="4">
        <v>8</v>
      </c>
      <c r="Z99" s="4">
        <v>115759</v>
      </c>
      <c r="AA99" s="4">
        <v>832</v>
      </c>
      <c r="AB99" s="4">
        <v>217500</v>
      </c>
      <c r="AC99" s="4" t="s">
        <v>174</v>
      </c>
      <c r="AD99" s="13" t="s">
        <v>284</v>
      </c>
      <c r="AE99" s="4"/>
      <c r="AF99" s="4"/>
      <c r="AG99" s="4"/>
      <c r="AH99" s="4"/>
      <c r="AI99" s="4"/>
      <c r="AJ99" s="4"/>
      <c r="AK99" s="4"/>
      <c r="AL99" s="4"/>
      <c r="AM99" s="4">
        <v>0</v>
      </c>
      <c r="AN99" s="4">
        <v>39757</v>
      </c>
      <c r="AO99" s="20"/>
      <c r="AP99" s="20"/>
      <c r="AQ99" s="20"/>
      <c r="AR99" s="20"/>
      <c r="AS99" s="20"/>
      <c r="AT99" s="20"/>
      <c r="AU99" s="20"/>
      <c r="AV99" s="11" t="str">
        <f t="shared" si="3"/>
        <v>-</v>
      </c>
    </row>
    <row r="100" spans="1:48" ht="36" x14ac:dyDescent="0.25">
      <c r="A100" s="1" t="s">
        <v>106</v>
      </c>
      <c r="B100" s="1" t="s">
        <v>41</v>
      </c>
      <c r="C100" s="1" t="s">
        <v>23</v>
      </c>
      <c r="D100" s="1">
        <v>12</v>
      </c>
      <c r="E100" s="1"/>
      <c r="F100" s="1" t="s">
        <v>571</v>
      </c>
      <c r="G100" s="1" t="s">
        <v>572</v>
      </c>
      <c r="H100" s="1" t="s">
        <v>573</v>
      </c>
      <c r="I100" s="1"/>
      <c r="J100" s="1">
        <v>1724000</v>
      </c>
      <c r="K100" s="1" t="s">
        <v>574</v>
      </c>
      <c r="L100" s="1" t="s">
        <v>102</v>
      </c>
      <c r="M100" s="1" t="s">
        <v>16</v>
      </c>
      <c r="N100" s="1"/>
      <c r="O100" s="1"/>
      <c r="P100" s="1"/>
      <c r="Q100" s="1"/>
      <c r="R100" s="1">
        <v>1532</v>
      </c>
      <c r="S100" s="1">
        <v>16314</v>
      </c>
      <c r="T100" s="1">
        <v>5681</v>
      </c>
      <c r="U100" s="1"/>
      <c r="V100" s="1">
        <v>2664</v>
      </c>
      <c r="W100" s="1">
        <v>8345</v>
      </c>
      <c r="X100" s="1">
        <v>173992</v>
      </c>
      <c r="Y100" s="1">
        <v>16</v>
      </c>
      <c r="Z100" s="1">
        <v>256672</v>
      </c>
      <c r="AA100" s="1">
        <v>1920</v>
      </c>
      <c r="AB100" s="1">
        <v>339793</v>
      </c>
      <c r="AC100" s="1" t="s">
        <v>103</v>
      </c>
      <c r="AD100" s="12" t="s">
        <v>261</v>
      </c>
      <c r="AE100" s="1"/>
      <c r="AF100" s="1"/>
      <c r="AG100" s="1"/>
      <c r="AH100" s="1"/>
      <c r="AI100" s="1"/>
      <c r="AJ100" s="1"/>
      <c r="AK100" s="1"/>
      <c r="AL100" s="1"/>
      <c r="AM100" s="1">
        <v>0</v>
      </c>
      <c r="AN100" s="1">
        <v>45302</v>
      </c>
      <c r="AO100" s="20"/>
      <c r="AP100" s="20"/>
      <c r="AQ100" s="20"/>
      <c r="AR100" s="20"/>
      <c r="AS100" s="20"/>
      <c r="AT100" s="20"/>
      <c r="AU100" s="20"/>
      <c r="AV100" s="11" t="str">
        <f t="shared" si="3"/>
        <v>-</v>
      </c>
    </row>
    <row r="101" spans="1:48" ht="36" x14ac:dyDescent="0.25">
      <c r="A101" s="1" t="s">
        <v>106</v>
      </c>
      <c r="B101" s="1" t="s">
        <v>39</v>
      </c>
      <c r="C101" s="1" t="s">
        <v>23</v>
      </c>
      <c r="D101" s="1">
        <v>12</v>
      </c>
      <c r="E101" s="1"/>
      <c r="F101" s="1" t="s">
        <v>575</v>
      </c>
      <c r="G101" s="1" t="s">
        <v>576</v>
      </c>
      <c r="H101" s="1" t="s">
        <v>577</v>
      </c>
      <c r="I101" s="1"/>
      <c r="J101" s="1">
        <v>159000</v>
      </c>
      <c r="K101" s="1" t="s">
        <v>343</v>
      </c>
      <c r="L101" s="1" t="s">
        <v>102</v>
      </c>
      <c r="M101" s="1" t="s">
        <v>14</v>
      </c>
      <c r="N101" s="1"/>
      <c r="O101" s="1"/>
      <c r="P101" s="1"/>
      <c r="Q101" s="1"/>
      <c r="R101" s="1">
        <v>89</v>
      </c>
      <c r="S101" s="1">
        <v>2100</v>
      </c>
      <c r="T101" s="1">
        <v>550</v>
      </c>
      <c r="U101" s="1"/>
      <c r="V101" s="1">
        <v>424</v>
      </c>
      <c r="W101" s="1">
        <v>974</v>
      </c>
      <c r="X101" s="1">
        <v>16000</v>
      </c>
      <c r="Y101" s="1">
        <v>3</v>
      </c>
      <c r="Z101" s="1">
        <v>31886</v>
      </c>
      <c r="AA101" s="1">
        <v>288</v>
      </c>
      <c r="AB101" s="1">
        <v>44883</v>
      </c>
      <c r="AC101" s="1" t="s">
        <v>332</v>
      </c>
      <c r="AD101" s="12" t="s">
        <v>261</v>
      </c>
      <c r="AE101" s="1"/>
      <c r="AF101" s="1"/>
      <c r="AG101" s="1"/>
      <c r="AH101" s="1"/>
      <c r="AI101" s="1"/>
      <c r="AJ101" s="1"/>
      <c r="AK101" s="1"/>
      <c r="AL101" s="1"/>
      <c r="AM101" s="1">
        <v>0</v>
      </c>
      <c r="AN101" s="1">
        <v>14719</v>
      </c>
      <c r="AO101" s="20"/>
      <c r="AP101" s="20"/>
      <c r="AQ101" s="20"/>
      <c r="AR101" s="20"/>
      <c r="AS101" s="20"/>
      <c r="AT101" s="20"/>
      <c r="AU101" s="20"/>
      <c r="AV101" s="11" t="str">
        <f t="shared" si="3"/>
        <v>-</v>
      </c>
    </row>
    <row r="102" spans="1:48" ht="72" x14ac:dyDescent="0.25">
      <c r="A102" s="4" t="s">
        <v>155</v>
      </c>
      <c r="B102" s="4" t="s">
        <v>35</v>
      </c>
      <c r="C102" s="4" t="s">
        <v>27</v>
      </c>
      <c r="D102" s="4">
        <v>12</v>
      </c>
      <c r="E102" s="4"/>
      <c r="F102" s="4" t="s">
        <v>578</v>
      </c>
      <c r="G102" s="4" t="s">
        <v>579</v>
      </c>
      <c r="H102" s="4" t="s">
        <v>577</v>
      </c>
      <c r="I102" s="4"/>
      <c r="J102" s="4">
        <v>383000</v>
      </c>
      <c r="K102" s="4" t="s">
        <v>188</v>
      </c>
      <c r="L102" s="4" t="s">
        <v>102</v>
      </c>
      <c r="M102" s="4" t="s">
        <v>14</v>
      </c>
      <c r="N102" s="4"/>
      <c r="O102" s="4"/>
      <c r="P102" s="4"/>
      <c r="Q102" s="4"/>
      <c r="R102" s="4">
        <v>790</v>
      </c>
      <c r="S102" s="4">
        <v>10405</v>
      </c>
      <c r="T102" s="4">
        <v>2383</v>
      </c>
      <c r="U102" s="4"/>
      <c r="V102" s="4">
        <v>442</v>
      </c>
      <c r="W102" s="4">
        <v>2825</v>
      </c>
      <c r="X102" s="4">
        <v>38000</v>
      </c>
      <c r="Y102" s="4">
        <v>5</v>
      </c>
      <c r="Z102" s="4">
        <v>44608</v>
      </c>
      <c r="AA102" s="4">
        <v>360</v>
      </c>
      <c r="AB102" s="4">
        <v>73655</v>
      </c>
      <c r="AC102" s="4" t="s">
        <v>174</v>
      </c>
      <c r="AD102" s="13" t="s">
        <v>104</v>
      </c>
      <c r="AE102" s="4"/>
      <c r="AF102" s="4"/>
      <c r="AG102" s="4"/>
      <c r="AH102" s="4"/>
      <c r="AI102" s="4"/>
      <c r="AJ102" s="4"/>
      <c r="AK102" s="4"/>
      <c r="AL102" s="4"/>
      <c r="AM102" s="4">
        <v>0</v>
      </c>
      <c r="AN102" s="4">
        <v>7668</v>
      </c>
      <c r="AO102" s="20"/>
      <c r="AP102" s="20"/>
      <c r="AQ102" s="20"/>
      <c r="AR102" s="20"/>
      <c r="AS102" s="20"/>
      <c r="AT102" s="20"/>
      <c r="AU102" s="20"/>
      <c r="AV102" s="11" t="str">
        <f t="shared" si="3"/>
        <v>-</v>
      </c>
    </row>
    <row r="103" spans="1:48" ht="72" x14ac:dyDescent="0.25">
      <c r="A103" s="4" t="s">
        <v>155</v>
      </c>
      <c r="B103" s="4" t="s">
        <v>39</v>
      </c>
      <c r="C103" s="4" t="s">
        <v>15</v>
      </c>
      <c r="D103" s="4">
        <v>12</v>
      </c>
      <c r="E103" s="4"/>
      <c r="F103" s="4" t="s">
        <v>580</v>
      </c>
      <c r="G103" s="4" t="s">
        <v>581</v>
      </c>
      <c r="H103" s="4" t="s">
        <v>577</v>
      </c>
      <c r="I103" s="4"/>
      <c r="J103" s="4">
        <v>1270000</v>
      </c>
      <c r="K103" s="4" t="s">
        <v>582</v>
      </c>
      <c r="L103" s="4" t="s">
        <v>102</v>
      </c>
      <c r="M103" s="4" t="s">
        <v>14</v>
      </c>
      <c r="N103" s="4"/>
      <c r="O103" s="4"/>
      <c r="P103" s="4"/>
      <c r="Q103" s="4"/>
      <c r="R103" s="4">
        <v>1752</v>
      </c>
      <c r="S103" s="4">
        <v>71326</v>
      </c>
      <c r="T103" s="4">
        <v>4956</v>
      </c>
      <c r="U103" s="4"/>
      <c r="V103" s="4">
        <v>1872</v>
      </c>
      <c r="W103" s="4">
        <v>6828</v>
      </c>
      <c r="X103" s="4">
        <v>111000</v>
      </c>
      <c r="Y103" s="4">
        <v>15</v>
      </c>
      <c r="Z103" s="4">
        <v>137202</v>
      </c>
      <c r="AA103" s="4">
        <v>1400</v>
      </c>
      <c r="AB103" s="4">
        <v>194480</v>
      </c>
      <c r="AC103" s="4" t="s">
        <v>204</v>
      </c>
      <c r="AD103" s="13" t="s">
        <v>104</v>
      </c>
      <c r="AE103" s="4"/>
      <c r="AF103" s="4"/>
      <c r="AG103" s="4"/>
      <c r="AH103" s="4"/>
      <c r="AI103" s="4"/>
      <c r="AJ103" s="4"/>
      <c r="AK103" s="4"/>
      <c r="AL103" s="4"/>
      <c r="AM103" s="4">
        <v>0</v>
      </c>
      <c r="AN103" s="4">
        <v>53951</v>
      </c>
      <c r="AO103" s="20"/>
      <c r="AP103" s="20"/>
      <c r="AQ103" s="20"/>
      <c r="AR103" s="20"/>
      <c r="AS103" s="20"/>
      <c r="AT103" s="20"/>
      <c r="AU103" s="20"/>
      <c r="AV103" s="11" t="str">
        <f t="shared" si="3"/>
        <v>-</v>
      </c>
    </row>
    <row r="104" spans="1:48" ht="72" x14ac:dyDescent="0.25">
      <c r="A104" s="4" t="s">
        <v>155</v>
      </c>
      <c r="B104" s="4" t="s">
        <v>39</v>
      </c>
      <c r="C104" s="4" t="s">
        <v>27</v>
      </c>
      <c r="D104" s="4">
        <v>12</v>
      </c>
      <c r="E104" s="4"/>
      <c r="F104" s="4" t="s">
        <v>583</v>
      </c>
      <c r="G104" s="4" t="s">
        <v>584</v>
      </c>
      <c r="H104" s="4" t="s">
        <v>585</v>
      </c>
      <c r="I104" s="4"/>
      <c r="J104" s="4">
        <v>297000</v>
      </c>
      <c r="K104" s="4" t="s">
        <v>292</v>
      </c>
      <c r="L104" s="4" t="s">
        <v>102</v>
      </c>
      <c r="M104" s="4" t="s">
        <v>22</v>
      </c>
      <c r="N104" s="4"/>
      <c r="O104" s="4"/>
      <c r="P104" s="4"/>
      <c r="Q104" s="4"/>
      <c r="R104" s="4">
        <v>230</v>
      </c>
      <c r="S104" s="4">
        <v>5718</v>
      </c>
      <c r="T104" s="4">
        <v>1331</v>
      </c>
      <c r="U104" s="4"/>
      <c r="V104" s="4">
        <v>716</v>
      </c>
      <c r="W104" s="4">
        <v>2047</v>
      </c>
      <c r="X104" s="4">
        <v>31370</v>
      </c>
      <c r="Y104" s="4">
        <v>6</v>
      </c>
      <c r="Z104" s="4">
        <v>53078</v>
      </c>
      <c r="AA104" s="4">
        <v>576</v>
      </c>
      <c r="AB104" s="4">
        <v>69785</v>
      </c>
      <c r="AC104" s="4" t="s">
        <v>367</v>
      </c>
      <c r="AD104" s="13" t="s">
        <v>586</v>
      </c>
      <c r="AE104" s="4"/>
      <c r="AF104" s="4"/>
      <c r="AG104" s="4"/>
      <c r="AH104" s="4"/>
      <c r="AI104" s="4"/>
      <c r="AJ104" s="4"/>
      <c r="AK104" s="4"/>
      <c r="AL104" s="4"/>
      <c r="AM104" s="4">
        <v>0</v>
      </c>
      <c r="AN104" s="4">
        <v>14463</v>
      </c>
      <c r="AO104" s="20"/>
      <c r="AP104" s="20"/>
      <c r="AQ104" s="20"/>
      <c r="AR104" s="20"/>
      <c r="AS104" s="20"/>
      <c r="AT104" s="20"/>
      <c r="AU104" s="20"/>
      <c r="AV104" s="11" t="str">
        <f t="shared" si="3"/>
        <v>-</v>
      </c>
    </row>
    <row r="105" spans="1:48" ht="48" x14ac:dyDescent="0.25">
      <c r="A105" s="4" t="s">
        <v>155</v>
      </c>
      <c r="B105" s="4" t="s">
        <v>37</v>
      </c>
      <c r="C105" s="4" t="s">
        <v>31</v>
      </c>
      <c r="D105" s="4">
        <v>12</v>
      </c>
      <c r="E105" s="4"/>
      <c r="F105" s="4" t="s">
        <v>587</v>
      </c>
      <c r="G105" s="4" t="s">
        <v>588</v>
      </c>
      <c r="H105" s="4" t="s">
        <v>585</v>
      </c>
      <c r="I105" s="4"/>
      <c r="J105" s="4">
        <v>3112442</v>
      </c>
      <c r="K105" s="4" t="s">
        <v>589</v>
      </c>
      <c r="L105" s="4" t="s">
        <v>102</v>
      </c>
      <c r="M105" s="4" t="s">
        <v>24</v>
      </c>
      <c r="N105" s="4"/>
      <c r="O105" s="4"/>
      <c r="P105" s="4"/>
      <c r="Q105" s="4"/>
      <c r="R105" s="4">
        <v>3898</v>
      </c>
      <c r="S105" s="4">
        <v>184943</v>
      </c>
      <c r="T105" s="4">
        <v>15551</v>
      </c>
      <c r="U105" s="4"/>
      <c r="V105" s="4">
        <v>2198</v>
      </c>
      <c r="W105" s="4">
        <v>17749</v>
      </c>
      <c r="X105" s="4">
        <v>242420</v>
      </c>
      <c r="Y105" s="4">
        <v>27</v>
      </c>
      <c r="Z105" s="4">
        <v>366076</v>
      </c>
      <c r="AA105" s="4">
        <v>2744</v>
      </c>
      <c r="AB105" s="4">
        <v>500507</v>
      </c>
      <c r="AC105" s="4" t="s">
        <v>153</v>
      </c>
      <c r="AD105" s="13" t="s">
        <v>590</v>
      </c>
      <c r="AE105" s="4"/>
      <c r="AF105" s="4"/>
      <c r="AG105" s="4"/>
      <c r="AH105" s="4"/>
      <c r="AI105" s="4"/>
      <c r="AJ105" s="4"/>
      <c r="AK105" s="4"/>
      <c r="AL105" s="4"/>
      <c r="AM105" s="4">
        <v>0</v>
      </c>
      <c r="AN105" s="4">
        <v>343904</v>
      </c>
      <c r="AO105" s="20"/>
      <c r="AP105" s="20"/>
      <c r="AQ105" s="20"/>
      <c r="AR105" s="20"/>
      <c r="AS105" s="20"/>
      <c r="AT105" s="20"/>
      <c r="AU105" s="20"/>
      <c r="AV105" s="11" t="str">
        <f t="shared" si="3"/>
        <v>-</v>
      </c>
    </row>
  </sheetData>
  <conditionalFormatting sqref="A2:A105">
    <cfRule type="cellIs" dxfId="1" priority="2" operator="equal">
      <formula>"Awarded"</formula>
    </cfRule>
    <cfRule type="cellIs" dxfId="0" priority="3" operator="equal">
      <formula>"Closed"</formula>
    </cfRule>
  </conditionalFormatting>
  <dataValidations count="6">
    <dataValidation type="list" allowBlank="1" showInputMessage="1" showErrorMessage="1" errorTitle="Invalid Entry" error="Please select from the dropdown list." promptTitle="Delivery Method" prompt="How was this project procured?" sqref="AO2:AO105" xr:uid="{00000000-0002-0000-0100-000000000000}">
      <formula1>"Hard Bid,Negotiated,CM at Risk,Design-Build,Other"</formula1>
      <formula2>0</formula2>
    </dataValidation>
    <dataValidation type="list" allowBlank="1" showInputMessage="1" showErrorMessage="1" errorTitle="Invalid Entry" error="Please select from the dropdown list." promptTitle="Opportunity Source" prompt="How did this opportunity come to us?" sqref="AQ2:AQ105" xr:uid="{00000000-0002-0000-0100-000001000000}">
      <formula1>"Existing Customer,Referral,Repeat Work,Cold RFP,Owner Direct,Other"</formula1>
      <formula2>0</formula2>
    </dataValidation>
    <dataValidation type="list" allowBlank="1" showInputMessage="1" showErrorMessage="1" errorTitle="Invalid Entry" error="Please select from the dropdown list." promptTitle="Go/No-Go Score" prompt="Confidence at time of bid: 1=Low, 2=Medium, 3=High" sqref="AR2:AR105" xr:uid="{00000000-0002-0000-0100-000002000000}">
      <formula1>"1 - Low,2 - Medium,3 - High"</formula1>
      <formula2>0</formula2>
    </dataValidation>
    <dataValidation type="list" allowBlank="1" showInputMessage="1" showErrorMessage="1" errorTitle="Invalid Entry" error="Please select from the dropdown list." promptTitle="Loss Reason" prompt="Primary reason for not winning (Closed bids only)" sqref="AS2:AS105" xr:uid="{00000000-0002-0000-0100-000003000000}">
      <formula1>"Price Too High,No Relationship,Scope Mismatch,Competitor Relationship,No-Bid After Review,Budget Cut,Unknown"</formula1>
      <formula2>0</formula2>
    </dataValidation>
    <dataValidation type="whole" allowBlank="1" showInputMessage="1" promptTitle="# of Bidders" prompt="Enter total number of bidders on this project (1-20)" sqref="AP2:AP105" xr:uid="{00000000-0002-0000-0100-000004000000}">
      <formula1>1</formula1>
      <formula2>20</formula2>
    </dataValidation>
    <dataValidation type="whole" allowBlank="1" showInputMessage="1" promptTitle="Our Rank (if lost)" prompt="If this was Closed, what rank did our bid finish? (1=lowest bidder)" sqref="AU2:AU105" xr:uid="{00000000-0002-0000-0100-000005000000}">
      <formula1>1</formula1>
      <formula2>20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tabSelected="1" zoomScaleNormal="100" workbookViewId="0"/>
  </sheetViews>
  <sheetFormatPr defaultColWidth="8.7109375" defaultRowHeight="15" x14ac:dyDescent="0.25"/>
  <cols>
    <col min="1" max="1" width="28" customWidth="1"/>
    <col min="2" max="2" width="14" customWidth="1"/>
    <col min="3" max="3" width="42" customWidth="1"/>
    <col min="4" max="4" width="60" customWidth="1"/>
  </cols>
  <sheetData>
    <row r="1" spans="1:4" ht="27.75" customHeight="1" x14ac:dyDescent="0.25">
      <c r="A1" s="7" t="s">
        <v>591</v>
      </c>
      <c r="B1" s="7" t="s">
        <v>592</v>
      </c>
      <c r="C1" s="7" t="s">
        <v>593</v>
      </c>
      <c r="D1" s="7" t="s">
        <v>594</v>
      </c>
    </row>
    <row r="2" spans="1:4" ht="42" customHeight="1" x14ac:dyDescent="0.25">
      <c r="A2" s="12" t="s">
        <v>595</v>
      </c>
      <c r="B2" s="12" t="s">
        <v>596</v>
      </c>
      <c r="C2" s="12" t="s">
        <v>597</v>
      </c>
      <c r="D2" s="12" t="s">
        <v>598</v>
      </c>
    </row>
    <row r="3" spans="1:4" ht="42" customHeight="1" x14ac:dyDescent="0.25">
      <c r="A3" s="13" t="s">
        <v>599</v>
      </c>
      <c r="B3" s="13" t="s">
        <v>600</v>
      </c>
      <c r="C3" s="13" t="s">
        <v>601</v>
      </c>
      <c r="D3" s="13" t="s">
        <v>602</v>
      </c>
    </row>
    <row r="4" spans="1:4" ht="42" customHeight="1" x14ac:dyDescent="0.25">
      <c r="A4" s="12" t="s">
        <v>603</v>
      </c>
      <c r="B4" s="12" t="s">
        <v>600</v>
      </c>
      <c r="C4" s="12" t="s">
        <v>601</v>
      </c>
      <c r="D4" s="12" t="s">
        <v>604</v>
      </c>
    </row>
    <row r="5" spans="1:4" ht="42" customHeight="1" x14ac:dyDescent="0.25">
      <c r="A5" s="13" t="s">
        <v>605</v>
      </c>
      <c r="B5" s="13" t="s">
        <v>606</v>
      </c>
      <c r="C5" s="13" t="s">
        <v>607</v>
      </c>
      <c r="D5" s="13" t="s">
        <v>608</v>
      </c>
    </row>
    <row r="6" spans="1:4" ht="42" customHeight="1" x14ac:dyDescent="0.25">
      <c r="A6" s="12" t="s">
        <v>609</v>
      </c>
      <c r="B6" s="12" t="s">
        <v>606</v>
      </c>
      <c r="C6" s="12" t="s">
        <v>55</v>
      </c>
      <c r="D6" s="12" t="s">
        <v>610</v>
      </c>
    </row>
    <row r="7" spans="1:4" ht="42" customHeight="1" x14ac:dyDescent="0.25">
      <c r="A7" s="13" t="s">
        <v>611</v>
      </c>
      <c r="B7" s="13" t="s">
        <v>606</v>
      </c>
      <c r="C7" s="13" t="s">
        <v>612</v>
      </c>
      <c r="D7" s="13" t="s">
        <v>613</v>
      </c>
    </row>
    <row r="8" spans="1:4" ht="42" customHeight="1" x14ac:dyDescent="0.25">
      <c r="A8" s="14"/>
      <c r="B8" s="14"/>
      <c r="C8" s="14"/>
      <c r="D8" s="14"/>
    </row>
    <row r="9" spans="1:4" ht="42" customHeight="1" x14ac:dyDescent="0.25">
      <c r="A9" s="15" t="s">
        <v>614</v>
      </c>
      <c r="B9" s="13" t="s">
        <v>615</v>
      </c>
      <c r="C9" s="13" t="s">
        <v>616</v>
      </c>
      <c r="D9" s="13" t="s">
        <v>617</v>
      </c>
    </row>
    <row r="10" spans="1:4" ht="42" customHeight="1" x14ac:dyDescent="0.25">
      <c r="A10" s="16" t="s">
        <v>618</v>
      </c>
      <c r="B10" s="12" t="s">
        <v>619</v>
      </c>
      <c r="C10" s="12" t="s">
        <v>620</v>
      </c>
      <c r="D10" s="12" t="s">
        <v>621</v>
      </c>
    </row>
    <row r="11" spans="1:4" ht="42" customHeight="1" x14ac:dyDescent="0.25">
      <c r="A11" s="15" t="s">
        <v>622</v>
      </c>
      <c r="B11" s="13" t="s">
        <v>615</v>
      </c>
      <c r="C11" s="13" t="s">
        <v>623</v>
      </c>
      <c r="D11" s="13" t="s">
        <v>624</v>
      </c>
    </row>
    <row r="12" spans="1:4" ht="42" customHeight="1" x14ac:dyDescent="0.25">
      <c r="A12" s="16" t="s">
        <v>625</v>
      </c>
      <c r="B12" s="12" t="s">
        <v>615</v>
      </c>
      <c r="C12" s="12" t="s">
        <v>626</v>
      </c>
      <c r="D12" s="12" t="s">
        <v>627</v>
      </c>
    </row>
    <row r="13" spans="1:4" ht="42" customHeight="1" x14ac:dyDescent="0.25">
      <c r="A13" s="15" t="s">
        <v>628</v>
      </c>
      <c r="B13" s="13" t="s">
        <v>615</v>
      </c>
      <c r="C13" s="13" t="s">
        <v>629</v>
      </c>
      <c r="D13" s="13" t="s">
        <v>630</v>
      </c>
    </row>
    <row r="14" spans="1:4" ht="42" customHeight="1" x14ac:dyDescent="0.25">
      <c r="A14" s="16" t="s">
        <v>631</v>
      </c>
      <c r="B14" s="12" t="s">
        <v>632</v>
      </c>
      <c r="C14" s="12" t="s">
        <v>633</v>
      </c>
      <c r="D14" s="12" t="s">
        <v>634</v>
      </c>
    </row>
    <row r="15" spans="1:4" ht="42" customHeight="1" x14ac:dyDescent="0.25">
      <c r="A15" s="15" t="s">
        <v>635</v>
      </c>
      <c r="B15" s="13" t="s">
        <v>619</v>
      </c>
      <c r="C15" s="13" t="s">
        <v>636</v>
      </c>
      <c r="D15" s="13" t="s">
        <v>637</v>
      </c>
    </row>
    <row r="16" spans="1:4" ht="42" customHeight="1" x14ac:dyDescent="0.25">
      <c r="A16" s="16" t="s">
        <v>638</v>
      </c>
      <c r="B16" s="12" t="s">
        <v>639</v>
      </c>
      <c r="C16" s="12" t="s">
        <v>640</v>
      </c>
      <c r="D16" s="12" t="s">
        <v>641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Estimating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Tucker Dye</cp:lastModifiedBy>
  <cp:revision>0</cp:revision>
  <dcterms:created xsi:type="dcterms:W3CDTF">2026-02-26T18:16:51Z</dcterms:created>
  <dcterms:modified xsi:type="dcterms:W3CDTF">2026-03-18T15:40:03Z</dcterms:modified>
  <dc:language>en-US</dc:language>
</cp:coreProperties>
</file>